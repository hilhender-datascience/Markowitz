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r0355\Documents\P4\Markowitz\"/>
    </mc:Choice>
  </mc:AlternateContent>
  <xr:revisionPtr revIDLastSave="0" documentId="8_{00F51E11-2280-45D4-9301-1A2A517D4638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DADOS e Análise" sheetId="1" r:id="rId1"/>
    <sheet name="data" sheetId="5" r:id="rId2"/>
    <sheet name="Perguntas e Resposta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32" i="1" l="1"/>
  <c r="AE327" i="1"/>
  <c r="AB327" i="1"/>
  <c r="N317" i="1"/>
  <c r="W332" i="1"/>
  <c r="X327" i="1"/>
  <c r="U327" i="1"/>
  <c r="P332" i="1"/>
  <c r="Q327" i="1"/>
  <c r="N327" i="1"/>
  <c r="AD324" i="1"/>
  <c r="W324" i="1"/>
  <c r="P324" i="1"/>
  <c r="C25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O302" i="1"/>
  <c r="O303" i="1"/>
  <c r="O304" i="1"/>
  <c r="O305" i="1"/>
  <c r="O306" i="1"/>
  <c r="O307" i="1"/>
  <c r="O308" i="1"/>
  <c r="O309" i="1"/>
  <c r="O310" i="1"/>
  <c r="O311" i="1"/>
  <c r="O301" i="1"/>
  <c r="N302" i="1"/>
  <c r="N303" i="1"/>
  <c r="N304" i="1"/>
  <c r="N305" i="1"/>
  <c r="N306" i="1"/>
  <c r="N307" i="1"/>
  <c r="N308" i="1"/>
  <c r="N309" i="1"/>
  <c r="N310" i="1"/>
  <c r="N311" i="1"/>
  <c r="N301" i="1"/>
  <c r="N268" i="1"/>
  <c r="N267" i="1"/>
  <c r="M268" i="1" a="1"/>
  <c r="M268" i="1" s="1"/>
  <c r="M267" i="1" a="1"/>
  <c r="M267" i="1" s="1"/>
  <c r="H578" i="1"/>
  <c r="I578" i="1" a="1"/>
  <c r="I578" i="1" s="1"/>
  <c r="J578" i="1" s="1"/>
  <c r="H577" i="1"/>
  <c r="J577" i="1"/>
  <c r="I577" i="1" a="1"/>
  <c r="I577" i="1" s="1"/>
  <c r="H576" i="1"/>
  <c r="J576" i="1" s="1"/>
  <c r="I576" i="1" a="1"/>
  <c r="I576" i="1" s="1"/>
  <c r="H575" i="1"/>
  <c r="J575" i="1" s="1"/>
  <c r="I575" i="1" a="1"/>
  <c r="I575" i="1" s="1"/>
  <c r="H574" i="1"/>
  <c r="I574" i="1" a="1"/>
  <c r="I574" i="1" s="1"/>
  <c r="J574" i="1" s="1"/>
  <c r="H573" i="1"/>
  <c r="J573" i="1" s="1"/>
  <c r="I573" i="1" a="1"/>
  <c r="I573" i="1" s="1"/>
  <c r="M266" i="1" l="1" a="1"/>
  <c r="M266" i="1" s="1"/>
  <c r="N266" i="1"/>
  <c r="E259" i="1"/>
  <c r="E260" i="1"/>
  <c r="E261" i="1"/>
  <c r="E262" i="1"/>
  <c r="E258" i="1"/>
  <c r="C262" i="1"/>
  <c r="C261" i="1"/>
  <c r="C260" i="1"/>
  <c r="B263" i="1"/>
  <c r="B262" i="1"/>
  <c r="B261" i="1"/>
  <c r="B260" i="1"/>
  <c r="K5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I4" i="1"/>
  <c r="G4" i="1"/>
  <c r="E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4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3" i="1"/>
  <c r="F253" i="1" l="1"/>
  <c r="F254" i="1"/>
  <c r="B258" i="1"/>
  <c r="B253" i="1"/>
  <c r="C258" i="1"/>
  <c r="B254" i="1"/>
  <c r="J253" i="1"/>
  <c r="J254" i="1"/>
  <c r="L253" i="1"/>
  <c r="D254" i="1"/>
  <c r="B259" i="1"/>
  <c r="C259" i="1"/>
  <c r="D253" i="1"/>
  <c r="H254" i="1"/>
  <c r="H253" i="1"/>
  <c r="L254" i="1"/>
  <c r="H274" i="1" l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273" i="1"/>
  <c r="D262" i="1"/>
  <c r="J255" i="1"/>
  <c r="D261" i="1"/>
  <c r="H255" i="1"/>
  <c r="D260" i="1"/>
  <c r="F255" i="1"/>
  <c r="D255" i="1"/>
  <c r="D259" i="1"/>
  <c r="B255" i="1"/>
  <c r="D258" i="1" l="1"/>
  <c r="O276" i="1"/>
  <c r="P275" i="1"/>
  <c r="P274" i="1"/>
  <c r="N276" i="1"/>
  <c r="M276" i="1"/>
  <c r="M277" i="1"/>
  <c r="N277" i="1"/>
  <c r="Q274" i="1"/>
  <c r="O277" i="1"/>
  <c r="Q275" i="1"/>
  <c r="P277" i="1"/>
  <c r="Q276" i="1"/>
  <c r="P261" i="1"/>
  <c r="P260" i="1"/>
  <c r="O260" i="1"/>
  <c r="P259" i="1"/>
  <c r="O259" i="1"/>
  <c r="Q273" i="1"/>
  <c r="P258" i="1"/>
  <c r="P273" i="1"/>
  <c r="O258" i="1"/>
  <c r="M275" i="1"/>
  <c r="N275" i="1"/>
  <c r="O274" i="1"/>
  <c r="N259" i="1"/>
  <c r="O273" i="1"/>
  <c r="N258" i="1"/>
  <c r="N273" i="1"/>
  <c r="M274" i="1"/>
  <c r="M258" i="1"/>
  <c r="I274" i="1" l="1" a="1"/>
  <c r="I274" i="1" s="1"/>
  <c r="J274" i="1" s="1"/>
  <c r="I278" i="1" a="1"/>
  <c r="I278" i="1" s="1"/>
  <c r="J278" i="1" s="1"/>
  <c r="I282" i="1" a="1"/>
  <c r="I282" i="1" s="1"/>
  <c r="J282" i="1" s="1"/>
  <c r="I286" i="1" a="1"/>
  <c r="I286" i="1" s="1"/>
  <c r="J286" i="1" s="1"/>
  <c r="I290" i="1" a="1"/>
  <c r="I290" i="1" s="1"/>
  <c r="J290" i="1" s="1"/>
  <c r="I294" i="1" a="1"/>
  <c r="I294" i="1" s="1"/>
  <c r="J294" i="1" s="1"/>
  <c r="I298" i="1" a="1"/>
  <c r="I298" i="1" s="1"/>
  <c r="J298" i="1" s="1"/>
  <c r="I302" i="1" a="1"/>
  <c r="I302" i="1" s="1"/>
  <c r="J302" i="1" s="1"/>
  <c r="I306" i="1" a="1"/>
  <c r="I306" i="1" s="1"/>
  <c r="J306" i="1" s="1"/>
  <c r="I310" i="1" a="1"/>
  <c r="I310" i="1" s="1"/>
  <c r="J310" i="1" s="1"/>
  <c r="I314" i="1" a="1"/>
  <c r="I314" i="1" s="1"/>
  <c r="J314" i="1" s="1"/>
  <c r="I318" i="1" a="1"/>
  <c r="I318" i="1" s="1"/>
  <c r="J318" i="1" s="1"/>
  <c r="I322" i="1" a="1"/>
  <c r="I322" i="1" s="1"/>
  <c r="J322" i="1" s="1"/>
  <c r="I326" i="1" a="1"/>
  <c r="I326" i="1" s="1"/>
  <c r="J326" i="1" s="1"/>
  <c r="I330" i="1" a="1"/>
  <c r="I330" i="1" s="1"/>
  <c r="J330" i="1" s="1"/>
  <c r="I334" i="1" a="1"/>
  <c r="I334" i="1" s="1"/>
  <c r="J334" i="1" s="1"/>
  <c r="I338" i="1" a="1"/>
  <c r="I338" i="1" s="1"/>
  <c r="J338" i="1" s="1"/>
  <c r="I342" i="1" a="1"/>
  <c r="I342" i="1" s="1"/>
  <c r="J342" i="1" s="1"/>
  <c r="I346" i="1" a="1"/>
  <c r="I346" i="1" s="1"/>
  <c r="J346" i="1" s="1"/>
  <c r="I350" i="1" a="1"/>
  <c r="I350" i="1" s="1"/>
  <c r="J350" i="1" s="1"/>
  <c r="I354" i="1" a="1"/>
  <c r="I354" i="1" s="1"/>
  <c r="J354" i="1" s="1"/>
  <c r="I358" i="1" a="1"/>
  <c r="I358" i="1" s="1"/>
  <c r="J358" i="1" s="1"/>
  <c r="I362" i="1" a="1"/>
  <c r="I362" i="1" s="1"/>
  <c r="J362" i="1" s="1"/>
  <c r="I366" i="1" a="1"/>
  <c r="I366" i="1" s="1"/>
  <c r="J366" i="1" s="1"/>
  <c r="I370" i="1" a="1"/>
  <c r="I370" i="1" s="1"/>
  <c r="J370" i="1" s="1"/>
  <c r="I374" i="1" a="1"/>
  <c r="I374" i="1" s="1"/>
  <c r="J374" i="1" s="1"/>
  <c r="I378" i="1" a="1"/>
  <c r="I378" i="1" s="1"/>
  <c r="J378" i="1" s="1"/>
  <c r="I386" i="1" a="1"/>
  <c r="I386" i="1" s="1"/>
  <c r="J386" i="1" s="1"/>
  <c r="I390" i="1" a="1"/>
  <c r="I390" i="1" s="1"/>
  <c r="J390" i="1" s="1"/>
  <c r="I394" i="1" a="1"/>
  <c r="I394" i="1" s="1"/>
  <c r="J394" i="1" s="1"/>
  <c r="I398" i="1" a="1"/>
  <c r="I398" i="1" s="1"/>
  <c r="J398" i="1" s="1"/>
  <c r="I402" i="1" a="1"/>
  <c r="I402" i="1" s="1"/>
  <c r="J402" i="1" s="1"/>
  <c r="I406" i="1" a="1"/>
  <c r="I406" i="1" s="1"/>
  <c r="J406" i="1" s="1"/>
  <c r="I414" i="1" a="1"/>
  <c r="I414" i="1" s="1"/>
  <c r="J414" i="1" s="1"/>
  <c r="I418" i="1" a="1"/>
  <c r="I418" i="1" s="1"/>
  <c r="J418" i="1" s="1"/>
  <c r="I426" i="1" a="1"/>
  <c r="I426" i="1" s="1"/>
  <c r="J426" i="1" s="1"/>
  <c r="I434" i="1" a="1"/>
  <c r="I434" i="1" s="1"/>
  <c r="J434" i="1" s="1"/>
  <c r="I442" i="1" a="1"/>
  <c r="I442" i="1" s="1"/>
  <c r="J442" i="1" s="1"/>
  <c r="I450" i="1" a="1"/>
  <c r="I450" i="1" s="1"/>
  <c r="J450" i="1" s="1"/>
  <c r="I458" i="1" a="1"/>
  <c r="I458" i="1" s="1"/>
  <c r="J458" i="1" s="1"/>
  <c r="I466" i="1" a="1"/>
  <c r="I466" i="1" s="1"/>
  <c r="J466" i="1" s="1"/>
  <c r="I474" i="1" a="1"/>
  <c r="I474" i="1" s="1"/>
  <c r="J474" i="1" s="1"/>
  <c r="I419" i="1" a="1"/>
  <c r="I419" i="1" s="1"/>
  <c r="J419" i="1" s="1"/>
  <c r="I275" i="1" a="1"/>
  <c r="I275" i="1" s="1"/>
  <c r="J275" i="1" s="1"/>
  <c r="I279" i="1" a="1"/>
  <c r="I279" i="1" s="1"/>
  <c r="J279" i="1" s="1"/>
  <c r="I283" i="1" a="1"/>
  <c r="I283" i="1" s="1"/>
  <c r="J283" i="1" s="1"/>
  <c r="I287" i="1" a="1"/>
  <c r="I287" i="1" s="1"/>
  <c r="J287" i="1" s="1"/>
  <c r="I291" i="1" a="1"/>
  <c r="I291" i="1" s="1"/>
  <c r="J291" i="1" s="1"/>
  <c r="I295" i="1" a="1"/>
  <c r="I295" i="1" s="1"/>
  <c r="J295" i="1" s="1"/>
  <c r="I299" i="1" a="1"/>
  <c r="I299" i="1" s="1"/>
  <c r="J299" i="1" s="1"/>
  <c r="I303" i="1" a="1"/>
  <c r="I303" i="1" s="1"/>
  <c r="J303" i="1" s="1"/>
  <c r="I307" i="1" a="1"/>
  <c r="I307" i="1" s="1"/>
  <c r="J307" i="1" s="1"/>
  <c r="I311" i="1" a="1"/>
  <c r="I311" i="1" s="1"/>
  <c r="J311" i="1" s="1"/>
  <c r="I315" i="1" a="1"/>
  <c r="I315" i="1" s="1"/>
  <c r="J315" i="1" s="1"/>
  <c r="I319" i="1" a="1"/>
  <c r="I319" i="1" s="1"/>
  <c r="J319" i="1" s="1"/>
  <c r="I323" i="1" a="1"/>
  <c r="I323" i="1" s="1"/>
  <c r="J323" i="1" s="1"/>
  <c r="I327" i="1" a="1"/>
  <c r="I327" i="1" s="1"/>
  <c r="J327" i="1" s="1"/>
  <c r="I331" i="1" a="1"/>
  <c r="I331" i="1" s="1"/>
  <c r="J331" i="1" s="1"/>
  <c r="I335" i="1" a="1"/>
  <c r="I335" i="1" s="1"/>
  <c r="J335" i="1" s="1"/>
  <c r="I339" i="1" a="1"/>
  <c r="I339" i="1" s="1"/>
  <c r="J339" i="1" s="1"/>
  <c r="I343" i="1" a="1"/>
  <c r="I343" i="1" s="1"/>
  <c r="J343" i="1" s="1"/>
  <c r="I347" i="1" a="1"/>
  <c r="I347" i="1" s="1"/>
  <c r="J347" i="1" s="1"/>
  <c r="I351" i="1" a="1"/>
  <c r="I351" i="1" s="1"/>
  <c r="J351" i="1" s="1"/>
  <c r="I355" i="1" a="1"/>
  <c r="I355" i="1" s="1"/>
  <c r="J355" i="1" s="1"/>
  <c r="I359" i="1" a="1"/>
  <c r="I359" i="1" s="1"/>
  <c r="J359" i="1" s="1"/>
  <c r="I363" i="1" a="1"/>
  <c r="I363" i="1" s="1"/>
  <c r="J363" i="1" s="1"/>
  <c r="I367" i="1" a="1"/>
  <c r="I367" i="1" s="1"/>
  <c r="J367" i="1" s="1"/>
  <c r="I371" i="1" a="1"/>
  <c r="I371" i="1" s="1"/>
  <c r="J371" i="1" s="1"/>
  <c r="I375" i="1" a="1"/>
  <c r="I375" i="1" s="1"/>
  <c r="J375" i="1" s="1"/>
  <c r="I379" i="1" a="1"/>
  <c r="I379" i="1" s="1"/>
  <c r="J379" i="1" s="1"/>
  <c r="I383" i="1" a="1"/>
  <c r="I383" i="1" s="1"/>
  <c r="J383" i="1" s="1"/>
  <c r="I387" i="1" a="1"/>
  <c r="I387" i="1" s="1"/>
  <c r="J387" i="1" s="1"/>
  <c r="I391" i="1" a="1"/>
  <c r="I391" i="1" s="1"/>
  <c r="J391" i="1" s="1"/>
  <c r="I395" i="1" a="1"/>
  <c r="I395" i="1" s="1"/>
  <c r="J395" i="1" s="1"/>
  <c r="I399" i="1" a="1"/>
  <c r="I399" i="1" s="1"/>
  <c r="J399" i="1" s="1"/>
  <c r="I403" i="1" a="1"/>
  <c r="I403" i="1" s="1"/>
  <c r="J403" i="1" s="1"/>
  <c r="I407" i="1" a="1"/>
  <c r="I407" i="1" s="1"/>
  <c r="J407" i="1" s="1"/>
  <c r="I411" i="1" a="1"/>
  <c r="I411" i="1" s="1"/>
  <c r="J411" i="1" s="1"/>
  <c r="I415" i="1" a="1"/>
  <c r="I415" i="1" s="1"/>
  <c r="J415" i="1" s="1"/>
  <c r="I423" i="1" a="1"/>
  <c r="I423" i="1" s="1"/>
  <c r="J423" i="1" s="1"/>
  <c r="I427" i="1" a="1"/>
  <c r="I427" i="1" s="1"/>
  <c r="J427" i="1" s="1"/>
  <c r="I431" i="1" a="1"/>
  <c r="I431" i="1" s="1"/>
  <c r="J431" i="1" s="1"/>
  <c r="I435" i="1" a="1"/>
  <c r="I435" i="1" s="1"/>
  <c r="J435" i="1" s="1"/>
  <c r="I439" i="1" a="1"/>
  <c r="I439" i="1" s="1"/>
  <c r="J439" i="1" s="1"/>
  <c r="I443" i="1" a="1"/>
  <c r="I443" i="1" s="1"/>
  <c r="J443" i="1" s="1"/>
  <c r="I447" i="1" a="1"/>
  <c r="I447" i="1" s="1"/>
  <c r="J447" i="1" s="1"/>
  <c r="I476" i="1" a="1"/>
  <c r="I476" i="1" s="1"/>
  <c r="J476" i="1" s="1"/>
  <c r="I500" i="1" a="1"/>
  <c r="I500" i="1" s="1"/>
  <c r="J500" i="1" s="1"/>
  <c r="I276" i="1" a="1"/>
  <c r="I276" i="1" s="1"/>
  <c r="J276" i="1" s="1"/>
  <c r="I280" i="1" a="1"/>
  <c r="I280" i="1" s="1"/>
  <c r="J280" i="1" s="1"/>
  <c r="I284" i="1" a="1"/>
  <c r="I284" i="1" s="1"/>
  <c r="J284" i="1" s="1"/>
  <c r="I288" i="1" a="1"/>
  <c r="I288" i="1" s="1"/>
  <c r="J288" i="1" s="1"/>
  <c r="I292" i="1" a="1"/>
  <c r="I292" i="1" s="1"/>
  <c r="J292" i="1" s="1"/>
  <c r="I296" i="1" a="1"/>
  <c r="I296" i="1" s="1"/>
  <c r="J296" i="1" s="1"/>
  <c r="I300" i="1" a="1"/>
  <c r="I300" i="1" s="1"/>
  <c r="J300" i="1" s="1"/>
  <c r="I304" i="1" a="1"/>
  <c r="I304" i="1" s="1"/>
  <c r="J304" i="1" s="1"/>
  <c r="I308" i="1" a="1"/>
  <c r="I308" i="1" s="1"/>
  <c r="J308" i="1" s="1"/>
  <c r="I312" i="1" a="1"/>
  <c r="I312" i="1" s="1"/>
  <c r="J312" i="1" s="1"/>
  <c r="I316" i="1" a="1"/>
  <c r="I316" i="1" s="1"/>
  <c r="J316" i="1" s="1"/>
  <c r="I320" i="1" a="1"/>
  <c r="I320" i="1" s="1"/>
  <c r="J320" i="1" s="1"/>
  <c r="I324" i="1" a="1"/>
  <c r="I324" i="1" s="1"/>
  <c r="J324" i="1" s="1"/>
  <c r="I328" i="1" a="1"/>
  <c r="I328" i="1" s="1"/>
  <c r="J328" i="1" s="1"/>
  <c r="I332" i="1" a="1"/>
  <c r="I332" i="1" s="1"/>
  <c r="J332" i="1" s="1"/>
  <c r="I336" i="1" a="1"/>
  <c r="I336" i="1" s="1"/>
  <c r="J336" i="1" s="1"/>
  <c r="I340" i="1" a="1"/>
  <c r="I340" i="1" s="1"/>
  <c r="J340" i="1" s="1"/>
  <c r="I344" i="1" a="1"/>
  <c r="I344" i="1" s="1"/>
  <c r="J344" i="1" s="1"/>
  <c r="I348" i="1" a="1"/>
  <c r="I348" i="1" s="1"/>
  <c r="J348" i="1" s="1"/>
  <c r="I352" i="1" a="1"/>
  <c r="I352" i="1" s="1"/>
  <c r="J352" i="1" s="1"/>
  <c r="I356" i="1" a="1"/>
  <c r="I356" i="1" s="1"/>
  <c r="J356" i="1" s="1"/>
  <c r="I360" i="1" a="1"/>
  <c r="I360" i="1" s="1"/>
  <c r="J360" i="1" s="1"/>
  <c r="I364" i="1" a="1"/>
  <c r="I364" i="1" s="1"/>
  <c r="J364" i="1" s="1"/>
  <c r="I368" i="1" a="1"/>
  <c r="I368" i="1" s="1"/>
  <c r="J368" i="1" s="1"/>
  <c r="I372" i="1" a="1"/>
  <c r="I372" i="1" s="1"/>
  <c r="J372" i="1" s="1"/>
  <c r="I376" i="1" a="1"/>
  <c r="I376" i="1" s="1"/>
  <c r="J376" i="1" s="1"/>
  <c r="I380" i="1" a="1"/>
  <c r="I380" i="1" s="1"/>
  <c r="J380" i="1" s="1"/>
  <c r="I384" i="1" a="1"/>
  <c r="I384" i="1" s="1"/>
  <c r="J384" i="1" s="1"/>
  <c r="I388" i="1" a="1"/>
  <c r="I388" i="1" s="1"/>
  <c r="J388" i="1" s="1"/>
  <c r="I392" i="1" a="1"/>
  <c r="I392" i="1" s="1"/>
  <c r="J392" i="1" s="1"/>
  <c r="I396" i="1" a="1"/>
  <c r="I396" i="1" s="1"/>
  <c r="J396" i="1" s="1"/>
  <c r="I400" i="1" a="1"/>
  <c r="I400" i="1" s="1"/>
  <c r="J400" i="1" s="1"/>
  <c r="I404" i="1" a="1"/>
  <c r="I404" i="1" s="1"/>
  <c r="J404" i="1" s="1"/>
  <c r="I408" i="1" a="1"/>
  <c r="I408" i="1" s="1"/>
  <c r="J408" i="1" s="1"/>
  <c r="I412" i="1" a="1"/>
  <c r="I412" i="1" s="1"/>
  <c r="J412" i="1" s="1"/>
  <c r="I416" i="1" a="1"/>
  <c r="I416" i="1" s="1"/>
  <c r="J416" i="1" s="1"/>
  <c r="I420" i="1" a="1"/>
  <c r="I420" i="1" s="1"/>
  <c r="J420" i="1" s="1"/>
  <c r="I424" i="1" a="1"/>
  <c r="I424" i="1" s="1"/>
  <c r="J424" i="1" s="1"/>
  <c r="I428" i="1" a="1"/>
  <c r="I428" i="1" s="1"/>
  <c r="J428" i="1" s="1"/>
  <c r="I432" i="1" a="1"/>
  <c r="I432" i="1" s="1"/>
  <c r="J432" i="1" s="1"/>
  <c r="I436" i="1" a="1"/>
  <c r="I436" i="1" s="1"/>
  <c r="J436" i="1" s="1"/>
  <c r="I440" i="1" a="1"/>
  <c r="I440" i="1" s="1"/>
  <c r="J440" i="1" s="1"/>
  <c r="I444" i="1" a="1"/>
  <c r="I444" i="1" s="1"/>
  <c r="J444" i="1" s="1"/>
  <c r="I448" i="1" a="1"/>
  <c r="I448" i="1" s="1"/>
  <c r="J448" i="1" s="1"/>
  <c r="I452" i="1" a="1"/>
  <c r="I452" i="1" s="1"/>
  <c r="J452" i="1" s="1"/>
  <c r="I456" i="1" a="1"/>
  <c r="I456" i="1" s="1"/>
  <c r="J456" i="1" s="1"/>
  <c r="I460" i="1" a="1"/>
  <c r="I460" i="1" s="1"/>
  <c r="J460" i="1" s="1"/>
  <c r="I464" i="1" a="1"/>
  <c r="I464" i="1" s="1"/>
  <c r="J464" i="1" s="1"/>
  <c r="I468" i="1" a="1"/>
  <c r="I468" i="1" s="1"/>
  <c r="J468" i="1" s="1"/>
  <c r="I472" i="1" a="1"/>
  <c r="I472" i="1" s="1"/>
  <c r="J472" i="1" s="1"/>
  <c r="I480" i="1" a="1"/>
  <c r="I480" i="1" s="1"/>
  <c r="J480" i="1" s="1"/>
  <c r="I484" i="1" a="1"/>
  <c r="I484" i="1" s="1"/>
  <c r="J484" i="1" s="1"/>
  <c r="I488" i="1" a="1"/>
  <c r="I488" i="1" s="1"/>
  <c r="J488" i="1" s="1"/>
  <c r="I492" i="1" a="1"/>
  <c r="I492" i="1" s="1"/>
  <c r="J492" i="1" s="1"/>
  <c r="I496" i="1" a="1"/>
  <c r="I496" i="1" s="1"/>
  <c r="J496" i="1" s="1"/>
  <c r="I504" i="1" a="1"/>
  <c r="I504" i="1" s="1"/>
  <c r="J504" i="1" s="1"/>
  <c r="I277" i="1" a="1"/>
  <c r="I277" i="1" s="1"/>
  <c r="J277" i="1" s="1"/>
  <c r="I281" i="1" a="1"/>
  <c r="I281" i="1" s="1"/>
  <c r="J281" i="1" s="1"/>
  <c r="I285" i="1" a="1"/>
  <c r="I285" i="1" s="1"/>
  <c r="J285" i="1" s="1"/>
  <c r="I289" i="1" a="1"/>
  <c r="I289" i="1" s="1"/>
  <c r="J289" i="1" s="1"/>
  <c r="I293" i="1" a="1"/>
  <c r="I293" i="1" s="1"/>
  <c r="J293" i="1" s="1"/>
  <c r="I297" i="1" a="1"/>
  <c r="I297" i="1" s="1"/>
  <c r="J297" i="1" s="1"/>
  <c r="I301" i="1" a="1"/>
  <c r="I301" i="1" s="1"/>
  <c r="J301" i="1" s="1"/>
  <c r="I305" i="1" a="1"/>
  <c r="I305" i="1" s="1"/>
  <c r="J305" i="1" s="1"/>
  <c r="I309" i="1" a="1"/>
  <c r="I309" i="1" s="1"/>
  <c r="J309" i="1" s="1"/>
  <c r="I382" i="1" a="1"/>
  <c r="I382" i="1" s="1"/>
  <c r="J382" i="1" s="1"/>
  <c r="I410" i="1" a="1"/>
  <c r="I410" i="1" s="1"/>
  <c r="J410" i="1" s="1"/>
  <c r="I422" i="1" a="1"/>
  <c r="I422" i="1" s="1"/>
  <c r="J422" i="1" s="1"/>
  <c r="I430" i="1" a="1"/>
  <c r="I430" i="1" s="1"/>
  <c r="J430" i="1" s="1"/>
  <c r="I438" i="1" a="1"/>
  <c r="I438" i="1" s="1"/>
  <c r="J438" i="1" s="1"/>
  <c r="I446" i="1" a="1"/>
  <c r="I446" i="1" s="1"/>
  <c r="J446" i="1" s="1"/>
  <c r="I454" i="1" a="1"/>
  <c r="I454" i="1" s="1"/>
  <c r="J454" i="1" s="1"/>
  <c r="I462" i="1" a="1"/>
  <c r="I462" i="1" s="1"/>
  <c r="J462" i="1" s="1"/>
  <c r="I470" i="1" a="1"/>
  <c r="I470" i="1" s="1"/>
  <c r="J470" i="1" s="1"/>
  <c r="I313" i="1" a="1"/>
  <c r="I313" i="1" s="1"/>
  <c r="J313" i="1" s="1"/>
  <c r="I377" i="1" a="1"/>
  <c r="I377" i="1" s="1"/>
  <c r="J377" i="1" s="1"/>
  <c r="I441" i="1" a="1"/>
  <c r="I441" i="1" s="1"/>
  <c r="J441" i="1" s="1"/>
  <c r="I477" i="1" a="1"/>
  <c r="I477" i="1" s="1"/>
  <c r="J477" i="1" s="1"/>
  <c r="I498" i="1" a="1"/>
  <c r="I498" i="1" s="1"/>
  <c r="J498" i="1" s="1"/>
  <c r="I516" i="1" a="1"/>
  <c r="I516" i="1" s="1"/>
  <c r="J516" i="1" s="1"/>
  <c r="I532" i="1" a="1"/>
  <c r="I532" i="1" s="1"/>
  <c r="J532" i="1" s="1"/>
  <c r="I548" i="1" a="1"/>
  <c r="I548" i="1" s="1"/>
  <c r="J548" i="1" s="1"/>
  <c r="I564" i="1" a="1"/>
  <c r="I564" i="1" s="1"/>
  <c r="J564" i="1" s="1"/>
  <c r="I317" i="1" a="1"/>
  <c r="I317" i="1" s="1"/>
  <c r="J317" i="1" s="1"/>
  <c r="I349" i="1" a="1"/>
  <c r="I349" i="1" s="1"/>
  <c r="J349" i="1" s="1"/>
  <c r="I381" i="1" a="1"/>
  <c r="I381" i="1" s="1"/>
  <c r="J381" i="1" s="1"/>
  <c r="I413" i="1" a="1"/>
  <c r="I413" i="1" s="1"/>
  <c r="J413" i="1" s="1"/>
  <c r="I445" i="1" a="1"/>
  <c r="I445" i="1" s="1"/>
  <c r="J445" i="1" s="1"/>
  <c r="I463" i="1" a="1"/>
  <c r="I463" i="1" s="1"/>
  <c r="J463" i="1" s="1"/>
  <c r="I478" i="1" a="1"/>
  <c r="I478" i="1" s="1"/>
  <c r="J478" i="1" s="1"/>
  <c r="I489" i="1" a="1"/>
  <c r="I489" i="1" s="1"/>
  <c r="J489" i="1" s="1"/>
  <c r="I499" i="1" a="1"/>
  <c r="I499" i="1" s="1"/>
  <c r="J499" i="1" s="1"/>
  <c r="I509" i="1" a="1"/>
  <c r="I509" i="1" s="1"/>
  <c r="J509" i="1" s="1"/>
  <c r="I517" i="1" a="1"/>
  <c r="I517" i="1" s="1"/>
  <c r="J517" i="1" s="1"/>
  <c r="I525" i="1" a="1"/>
  <c r="I525" i="1" s="1"/>
  <c r="J525" i="1" s="1"/>
  <c r="I533" i="1" a="1"/>
  <c r="I533" i="1" s="1"/>
  <c r="J533" i="1" s="1"/>
  <c r="I541" i="1" a="1"/>
  <c r="I541" i="1" s="1"/>
  <c r="J541" i="1" s="1"/>
  <c r="I549" i="1" a="1"/>
  <c r="I549" i="1" s="1"/>
  <c r="J549" i="1" s="1"/>
  <c r="I557" i="1" a="1"/>
  <c r="I557" i="1" s="1"/>
  <c r="J557" i="1" s="1"/>
  <c r="I565" i="1" a="1"/>
  <c r="I565" i="1" s="1"/>
  <c r="J565" i="1" s="1"/>
  <c r="I273" i="1" a="1"/>
  <c r="I273" i="1" s="1"/>
  <c r="J273" i="1" s="1"/>
  <c r="I353" i="1" a="1"/>
  <c r="I353" i="1" s="1"/>
  <c r="J353" i="1" s="1"/>
  <c r="I465" i="1" a="1"/>
  <c r="I465" i="1" s="1"/>
  <c r="J465" i="1" s="1"/>
  <c r="I490" i="1" a="1"/>
  <c r="I490" i="1" s="1"/>
  <c r="J490" i="1" s="1"/>
  <c r="I510" i="1" a="1"/>
  <c r="I510" i="1" s="1"/>
  <c r="J510" i="1" s="1"/>
  <c r="I526" i="1" a="1"/>
  <c r="I526" i="1" s="1"/>
  <c r="J526" i="1" s="1"/>
  <c r="I542" i="1" a="1"/>
  <c r="I542" i="1" s="1"/>
  <c r="J542" i="1" s="1"/>
  <c r="I558" i="1" a="1"/>
  <c r="I558" i="1" s="1"/>
  <c r="J558" i="1" s="1"/>
  <c r="I321" i="1" a="1"/>
  <c r="I321" i="1" s="1"/>
  <c r="J321" i="1" s="1"/>
  <c r="I385" i="1" a="1"/>
  <c r="I385" i="1" s="1"/>
  <c r="J385" i="1" s="1"/>
  <c r="I417" i="1" a="1"/>
  <c r="I417" i="1" s="1"/>
  <c r="J417" i="1" s="1"/>
  <c r="I449" i="1" a="1"/>
  <c r="I449" i="1" s="1"/>
  <c r="J449" i="1" s="1"/>
  <c r="I479" i="1" a="1"/>
  <c r="I479" i="1" s="1"/>
  <c r="J479" i="1" s="1"/>
  <c r="I501" i="1" a="1"/>
  <c r="I501" i="1" s="1"/>
  <c r="J501" i="1" s="1"/>
  <c r="I518" i="1" a="1"/>
  <c r="I518" i="1" s="1"/>
  <c r="J518" i="1" s="1"/>
  <c r="I534" i="1" a="1"/>
  <c r="I534" i="1" s="1"/>
  <c r="J534" i="1" s="1"/>
  <c r="I550" i="1" a="1"/>
  <c r="I550" i="1" s="1"/>
  <c r="J550" i="1" s="1"/>
  <c r="I566" i="1" a="1"/>
  <c r="I566" i="1" s="1"/>
  <c r="J566" i="1" s="1"/>
  <c r="I325" i="1" a="1"/>
  <c r="I325" i="1" s="1"/>
  <c r="J325" i="1" s="1"/>
  <c r="I357" i="1" a="1"/>
  <c r="I357" i="1" s="1"/>
  <c r="J357" i="1" s="1"/>
  <c r="I389" i="1" a="1"/>
  <c r="I389" i="1" s="1"/>
  <c r="J389" i="1" s="1"/>
  <c r="I421" i="1" a="1"/>
  <c r="I421" i="1" s="1"/>
  <c r="J421" i="1" s="1"/>
  <c r="I451" i="1" a="1"/>
  <c r="I451" i="1" s="1"/>
  <c r="J451" i="1" s="1"/>
  <c r="I467" i="1" a="1"/>
  <c r="I467" i="1" s="1"/>
  <c r="J467" i="1" s="1"/>
  <c r="I481" i="1" a="1"/>
  <c r="I481" i="1" s="1"/>
  <c r="J481" i="1" s="1"/>
  <c r="I491" i="1" a="1"/>
  <c r="I491" i="1" s="1"/>
  <c r="J491" i="1" s="1"/>
  <c r="I502" i="1" a="1"/>
  <c r="I502" i="1" s="1"/>
  <c r="J502" i="1" s="1"/>
  <c r="I511" i="1" a="1"/>
  <c r="I511" i="1" s="1"/>
  <c r="J511" i="1" s="1"/>
  <c r="I519" i="1" a="1"/>
  <c r="I519" i="1" s="1"/>
  <c r="J519" i="1" s="1"/>
  <c r="I527" i="1" a="1"/>
  <c r="I527" i="1" s="1"/>
  <c r="J527" i="1" s="1"/>
  <c r="I535" i="1" a="1"/>
  <c r="I535" i="1" s="1"/>
  <c r="J535" i="1" s="1"/>
  <c r="I543" i="1" a="1"/>
  <c r="I543" i="1" s="1"/>
  <c r="J543" i="1" s="1"/>
  <c r="I551" i="1" a="1"/>
  <c r="I551" i="1" s="1"/>
  <c r="J551" i="1" s="1"/>
  <c r="I559" i="1" a="1"/>
  <c r="I559" i="1" s="1"/>
  <c r="J559" i="1" s="1"/>
  <c r="I567" i="1" a="1"/>
  <c r="I567" i="1" s="1"/>
  <c r="J567" i="1" s="1"/>
  <c r="I329" i="1" a="1"/>
  <c r="I329" i="1" s="1"/>
  <c r="J329" i="1" s="1"/>
  <c r="I361" i="1" a="1"/>
  <c r="I361" i="1" s="1"/>
  <c r="J361" i="1" s="1"/>
  <c r="I393" i="1" a="1"/>
  <c r="I393" i="1" s="1"/>
  <c r="J393" i="1" s="1"/>
  <c r="I425" i="1" a="1"/>
  <c r="I425" i="1" s="1"/>
  <c r="J425" i="1" s="1"/>
  <c r="I453" i="1" a="1"/>
  <c r="I453" i="1" s="1"/>
  <c r="J453" i="1" s="1"/>
  <c r="I469" i="1" a="1"/>
  <c r="I469" i="1" s="1"/>
  <c r="J469" i="1" s="1"/>
  <c r="I482" i="1" a="1"/>
  <c r="I482" i="1" s="1"/>
  <c r="J482" i="1" s="1"/>
  <c r="I493" i="1" a="1"/>
  <c r="I493" i="1" s="1"/>
  <c r="J493" i="1" s="1"/>
  <c r="I503" i="1" a="1"/>
  <c r="I503" i="1" s="1"/>
  <c r="J503" i="1" s="1"/>
  <c r="I512" i="1" a="1"/>
  <c r="I512" i="1" s="1"/>
  <c r="J512" i="1" s="1"/>
  <c r="I520" i="1" a="1"/>
  <c r="I520" i="1" s="1"/>
  <c r="J520" i="1" s="1"/>
  <c r="I528" i="1" a="1"/>
  <c r="I528" i="1" s="1"/>
  <c r="J528" i="1" s="1"/>
  <c r="I536" i="1" a="1"/>
  <c r="I536" i="1" s="1"/>
  <c r="J536" i="1" s="1"/>
  <c r="I544" i="1" a="1"/>
  <c r="I544" i="1" s="1"/>
  <c r="J544" i="1" s="1"/>
  <c r="I552" i="1" a="1"/>
  <c r="I552" i="1" s="1"/>
  <c r="J552" i="1" s="1"/>
  <c r="I560" i="1" a="1"/>
  <c r="I560" i="1" s="1"/>
  <c r="J560" i="1" s="1"/>
  <c r="I568" i="1" a="1"/>
  <c r="I568" i="1" s="1"/>
  <c r="J568" i="1" s="1"/>
  <c r="I333" i="1" a="1"/>
  <c r="I333" i="1" s="1"/>
  <c r="J333" i="1" s="1"/>
  <c r="I365" i="1" a="1"/>
  <c r="I365" i="1" s="1"/>
  <c r="J365" i="1" s="1"/>
  <c r="I397" i="1" a="1"/>
  <c r="I397" i="1" s="1"/>
  <c r="J397" i="1" s="1"/>
  <c r="I429" i="1" a="1"/>
  <c r="I429" i="1" s="1"/>
  <c r="J429" i="1" s="1"/>
  <c r="I455" i="1" a="1"/>
  <c r="I455" i="1" s="1"/>
  <c r="J455" i="1" s="1"/>
  <c r="I471" i="1" a="1"/>
  <c r="I471" i="1" s="1"/>
  <c r="J471" i="1" s="1"/>
  <c r="I483" i="1" a="1"/>
  <c r="I483" i="1" s="1"/>
  <c r="J483" i="1" s="1"/>
  <c r="I494" i="1" a="1"/>
  <c r="I494" i="1" s="1"/>
  <c r="J494" i="1" s="1"/>
  <c r="I505" i="1" a="1"/>
  <c r="I505" i="1" s="1"/>
  <c r="J505" i="1" s="1"/>
  <c r="I513" i="1" a="1"/>
  <c r="I513" i="1" s="1"/>
  <c r="J513" i="1" s="1"/>
  <c r="I521" i="1" a="1"/>
  <c r="I521" i="1" s="1"/>
  <c r="J521" i="1" s="1"/>
  <c r="I529" i="1" a="1"/>
  <c r="I529" i="1" s="1"/>
  <c r="J529" i="1" s="1"/>
  <c r="I537" i="1" a="1"/>
  <c r="I537" i="1" s="1"/>
  <c r="J537" i="1" s="1"/>
  <c r="I545" i="1" a="1"/>
  <c r="I545" i="1" s="1"/>
  <c r="J545" i="1" s="1"/>
  <c r="I553" i="1" a="1"/>
  <c r="I553" i="1" s="1"/>
  <c r="J553" i="1" s="1"/>
  <c r="I561" i="1" a="1"/>
  <c r="I561" i="1" s="1"/>
  <c r="J561" i="1" s="1"/>
  <c r="I569" i="1" a="1"/>
  <c r="I569" i="1" s="1"/>
  <c r="J569" i="1" s="1"/>
  <c r="I337" i="1" a="1"/>
  <c r="I337" i="1" s="1"/>
  <c r="J337" i="1" s="1"/>
  <c r="I369" i="1" a="1"/>
  <c r="I369" i="1" s="1"/>
  <c r="J369" i="1" s="1"/>
  <c r="I401" i="1" a="1"/>
  <c r="I401" i="1" s="1"/>
  <c r="J401" i="1" s="1"/>
  <c r="I433" i="1" a="1"/>
  <c r="I433" i="1" s="1"/>
  <c r="J433" i="1" s="1"/>
  <c r="I457" i="1" a="1"/>
  <c r="I457" i="1" s="1"/>
  <c r="J457" i="1" s="1"/>
  <c r="I473" i="1" a="1"/>
  <c r="I473" i="1" s="1"/>
  <c r="J473" i="1" s="1"/>
  <c r="I485" i="1" a="1"/>
  <c r="I485" i="1" s="1"/>
  <c r="J485" i="1" s="1"/>
  <c r="I495" i="1" a="1"/>
  <c r="I495" i="1" s="1"/>
  <c r="J495" i="1" s="1"/>
  <c r="I506" i="1" a="1"/>
  <c r="I506" i="1" s="1"/>
  <c r="J506" i="1" s="1"/>
  <c r="I514" i="1" a="1"/>
  <c r="I514" i="1" s="1"/>
  <c r="J514" i="1" s="1"/>
  <c r="I522" i="1" a="1"/>
  <c r="I522" i="1" s="1"/>
  <c r="J522" i="1" s="1"/>
  <c r="I530" i="1" a="1"/>
  <c r="I530" i="1" s="1"/>
  <c r="J530" i="1" s="1"/>
  <c r="I538" i="1" a="1"/>
  <c r="I538" i="1" s="1"/>
  <c r="J538" i="1" s="1"/>
  <c r="I546" i="1" a="1"/>
  <c r="I546" i="1" s="1"/>
  <c r="J546" i="1" s="1"/>
  <c r="I554" i="1" a="1"/>
  <c r="I554" i="1" s="1"/>
  <c r="J554" i="1" s="1"/>
  <c r="I562" i="1" a="1"/>
  <c r="I562" i="1" s="1"/>
  <c r="J562" i="1" s="1"/>
  <c r="I570" i="1" a="1"/>
  <c r="I570" i="1" s="1"/>
  <c r="J570" i="1" s="1"/>
  <c r="I341" i="1" a="1"/>
  <c r="I341" i="1" s="1"/>
  <c r="J341" i="1" s="1"/>
  <c r="I373" i="1" a="1"/>
  <c r="I373" i="1" s="1"/>
  <c r="J373" i="1" s="1"/>
  <c r="I405" i="1" a="1"/>
  <c r="I405" i="1" s="1"/>
  <c r="J405" i="1" s="1"/>
  <c r="I437" i="1" a="1"/>
  <c r="I437" i="1" s="1"/>
  <c r="J437" i="1" s="1"/>
  <c r="I459" i="1" a="1"/>
  <c r="I459" i="1" s="1"/>
  <c r="J459" i="1" s="1"/>
  <c r="I475" i="1" a="1"/>
  <c r="I475" i="1" s="1"/>
  <c r="J475" i="1" s="1"/>
  <c r="I486" i="1" a="1"/>
  <c r="I486" i="1" s="1"/>
  <c r="J486" i="1" s="1"/>
  <c r="I497" i="1" a="1"/>
  <c r="I497" i="1" s="1"/>
  <c r="J497" i="1" s="1"/>
  <c r="I507" i="1" a="1"/>
  <c r="I507" i="1" s="1"/>
  <c r="J507" i="1" s="1"/>
  <c r="I515" i="1" a="1"/>
  <c r="I515" i="1" s="1"/>
  <c r="J515" i="1" s="1"/>
  <c r="I523" i="1" a="1"/>
  <c r="I523" i="1" s="1"/>
  <c r="J523" i="1" s="1"/>
  <c r="I531" i="1" a="1"/>
  <c r="I531" i="1" s="1"/>
  <c r="J531" i="1" s="1"/>
  <c r="I539" i="1" a="1"/>
  <c r="I539" i="1" s="1"/>
  <c r="J539" i="1" s="1"/>
  <c r="I547" i="1" a="1"/>
  <c r="I547" i="1" s="1"/>
  <c r="J547" i="1" s="1"/>
  <c r="I555" i="1" a="1"/>
  <c r="I555" i="1" s="1"/>
  <c r="J555" i="1" s="1"/>
  <c r="I563" i="1" a="1"/>
  <c r="I563" i="1" s="1"/>
  <c r="J563" i="1" s="1"/>
  <c r="I571" i="1" a="1"/>
  <c r="I571" i="1" s="1"/>
  <c r="J571" i="1" s="1"/>
  <c r="I345" i="1" a="1"/>
  <c r="I345" i="1" s="1"/>
  <c r="J345" i="1" s="1"/>
  <c r="I409" i="1" a="1"/>
  <c r="I409" i="1" s="1"/>
  <c r="J409" i="1" s="1"/>
  <c r="I461" i="1" a="1"/>
  <c r="I461" i="1" s="1"/>
  <c r="J461" i="1" s="1"/>
  <c r="I487" i="1" a="1"/>
  <c r="I487" i="1" s="1"/>
  <c r="J487" i="1" s="1"/>
  <c r="I508" i="1" a="1"/>
  <c r="I508" i="1" s="1"/>
  <c r="J508" i="1" s="1"/>
  <c r="I524" i="1" a="1"/>
  <c r="I524" i="1" s="1"/>
  <c r="J524" i="1" s="1"/>
  <c r="I540" i="1" a="1"/>
  <c r="I540" i="1" s="1"/>
  <c r="J540" i="1" s="1"/>
  <c r="I556" i="1" a="1"/>
  <c r="I556" i="1" s="1"/>
  <c r="J556" i="1" s="1"/>
  <c r="I572" i="1" a="1"/>
  <c r="I572" i="1" s="1"/>
  <c r="J57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tc={BBF1174C-3CA8-4DBA-8211-4A01DD45BA03}</author>
  </authors>
  <commentList>
    <comment ref="A253" authorId="0" shapeId="0" xr:uid="{BBF1174C-3CA8-4DBA-8211-4A01DD45BA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proposta era ter uma amostra anual que tenha 252 amostra de valores referentes a cotação. Contudo, para cálculo da média via o retorno diário do ativo temos 249 amostras.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<sst xmlns="http://schemas.openxmlformats.org/spreadsheetml/2006/main" count="453" uniqueCount="362">
  <si>
    <t>POMO3</t>
  </si>
  <si>
    <t>AURE3</t>
  </si>
  <si>
    <t>BBAS3</t>
  </si>
  <si>
    <t>ITUB3</t>
  </si>
  <si>
    <t>IBOV</t>
  </si>
  <si>
    <t>Selic</t>
  </si>
  <si>
    <t>Data</t>
  </si>
  <si>
    <t>Fechamento</t>
  </si>
  <si>
    <t>Redimento diário</t>
  </si>
  <si>
    <t>a.d.</t>
  </si>
  <si>
    <t>Média</t>
  </si>
  <si>
    <t>DP</t>
  </si>
  <si>
    <t>CV</t>
  </si>
  <si>
    <t>SELIC</t>
  </si>
  <si>
    <t>ESCOLHIDO</t>
  </si>
  <si>
    <t>PORTIFOLIO</t>
  </si>
  <si>
    <t xml:space="preserve">RETORNO </t>
  </si>
  <si>
    <t>RISCO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</si>
  <si>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</si>
  <si>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</si>
  <si>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</si>
  <si>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</si>
  <si>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</si>
  <si>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</si>
  <si>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</si>
  <si>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</si>
  <si>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</si>
  <si>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</si>
  <si>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</si>
  <si>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</si>
  <si>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</si>
  <si>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</si>
  <si>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</si>
  <si>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</si>
  <si>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</si>
  <si>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</si>
  <si>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</si>
  <si>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</si>
  <si>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</si>
  <si>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</si>
  <si>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</si>
  <si>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</si>
  <si>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</si>
  <si>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</si>
  <si>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</si>
  <si>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</si>
  <si>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</si>
  <si>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</si>
  <si>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</si>
  <si>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</si>
  <si>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</si>
  <si>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</si>
  <si>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</si>
  <si>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</si>
  <si>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</si>
  <si>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</si>
  <si>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</si>
  <si>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</si>
  <si>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</si>
  <si>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</si>
  <si>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</si>
  <si>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</si>
  <si>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</si>
  <si>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</si>
  <si>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</si>
  <si>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</si>
  <si>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</si>
  <si>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</si>
  <si>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</si>
  <si>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</si>
  <si>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</si>
  <si>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w54</t>
  </si>
  <si>
    <t>w55</t>
  </si>
  <si>
    <t>w56</t>
  </si>
  <si>
    <t>w57</t>
  </si>
  <si>
    <t>w58</t>
  </si>
  <si>
    <t>w59</t>
  </si>
  <si>
    <t>w60</t>
  </si>
  <si>
    <t>w61</t>
  </si>
  <si>
    <t>w62</t>
  </si>
  <si>
    <t>w63</t>
  </si>
  <si>
    <t>w64</t>
  </si>
  <si>
    <t>w65</t>
  </si>
  <si>
    <t>w66</t>
  </si>
  <si>
    <t>w67</t>
  </si>
  <si>
    <t>w68</t>
  </si>
  <si>
    <t>w69</t>
  </si>
  <si>
    <t>w70</t>
  </si>
  <si>
    <t>w71</t>
  </si>
  <si>
    <t>w72</t>
  </si>
  <si>
    <t>w73</t>
  </si>
  <si>
    <t>w74</t>
  </si>
  <si>
    <t>w75</t>
  </si>
  <si>
    <t>w76</t>
  </si>
  <si>
    <t>w77</t>
  </si>
  <si>
    <t>w78</t>
  </si>
  <si>
    <t>w79</t>
  </si>
  <si>
    <t>w80</t>
  </si>
  <si>
    <t>w81</t>
  </si>
  <si>
    <t>w82</t>
  </si>
  <si>
    <t>w83</t>
  </si>
  <si>
    <t>w84</t>
  </si>
  <si>
    <t>w85</t>
  </si>
  <si>
    <t>w86</t>
  </si>
  <si>
    <t>w87</t>
  </si>
  <si>
    <t>w88</t>
  </si>
  <si>
    <t>w89</t>
  </si>
  <si>
    <t>w90</t>
  </si>
  <si>
    <t>w91</t>
  </si>
  <si>
    <t>w92</t>
  </si>
  <si>
    <t>w93</t>
  </si>
  <si>
    <t>w94</t>
  </si>
  <si>
    <t>w95</t>
  </si>
  <si>
    <t>w96</t>
  </si>
  <si>
    <t>w97</t>
  </si>
  <si>
    <t>w98</t>
  </si>
  <si>
    <t>w99</t>
  </si>
  <si>
    <t>w100</t>
  </si>
  <si>
    <t>w101</t>
  </si>
  <si>
    <t>w102</t>
  </si>
  <si>
    <t>w103</t>
  </si>
  <si>
    <t>w104</t>
  </si>
  <si>
    <t>w105</t>
  </si>
  <si>
    <t>w106</t>
  </si>
  <si>
    <t>w107</t>
  </si>
  <si>
    <t>w108</t>
  </si>
  <si>
    <t>w109</t>
  </si>
  <si>
    <t>w110</t>
  </si>
  <si>
    <t>w111</t>
  </si>
  <si>
    <t>w112</t>
  </si>
  <si>
    <t>w113</t>
  </si>
  <si>
    <t>w114</t>
  </si>
  <si>
    <t>w115</t>
  </si>
  <si>
    <t>w116</t>
  </si>
  <si>
    <t>w117</t>
  </si>
  <si>
    <t>w118</t>
  </si>
  <si>
    <t>w119</t>
  </si>
  <si>
    <t>w120</t>
  </si>
  <si>
    <t>w121</t>
  </si>
  <si>
    <t>w122</t>
  </si>
  <si>
    <t>w123</t>
  </si>
  <si>
    <t>w124</t>
  </si>
  <si>
    <t>w125</t>
  </si>
  <si>
    <t>w126</t>
  </si>
  <si>
    <t>w127</t>
  </si>
  <si>
    <t>w128</t>
  </si>
  <si>
    <t>w129</t>
  </si>
  <si>
    <t>w130</t>
  </si>
  <si>
    <t>w131</t>
  </si>
  <si>
    <t>w132</t>
  </si>
  <si>
    <t>w133</t>
  </si>
  <si>
    <t>w134</t>
  </si>
  <si>
    <t>w135</t>
  </si>
  <si>
    <t>w136</t>
  </si>
  <si>
    <t>w137</t>
  </si>
  <si>
    <t>w138</t>
  </si>
  <si>
    <t>w139</t>
  </si>
  <si>
    <t>w140</t>
  </si>
  <si>
    <t>w141</t>
  </si>
  <si>
    <t>w142</t>
  </si>
  <si>
    <t>w143</t>
  </si>
  <si>
    <t>w144</t>
  </si>
  <si>
    <t>w145</t>
  </si>
  <si>
    <t>w146</t>
  </si>
  <si>
    <t>w147</t>
  </si>
  <si>
    <t>w148</t>
  </si>
  <si>
    <t>w149</t>
  </si>
  <si>
    <t>w150</t>
  </si>
  <si>
    <t>w151</t>
  </si>
  <si>
    <t>w152</t>
  </si>
  <si>
    <t>w153</t>
  </si>
  <si>
    <t>w154</t>
  </si>
  <si>
    <t>w155</t>
  </si>
  <si>
    <t>w156</t>
  </si>
  <si>
    <t>w157</t>
  </si>
  <si>
    <t>w158</t>
  </si>
  <si>
    <t>w159</t>
  </si>
  <si>
    <t>w160</t>
  </si>
  <si>
    <t>w161</t>
  </si>
  <si>
    <t>w162</t>
  </si>
  <si>
    <t>w163</t>
  </si>
  <si>
    <t>w164</t>
  </si>
  <si>
    <t>w165</t>
  </si>
  <si>
    <t>w166</t>
  </si>
  <si>
    <t>w167</t>
  </si>
  <si>
    <t>w168</t>
  </si>
  <si>
    <t>w169</t>
  </si>
  <si>
    <t>w170</t>
  </si>
  <si>
    <t>w171</t>
  </si>
  <si>
    <t>w172</t>
  </si>
  <si>
    <t>w173</t>
  </si>
  <si>
    <t>w174</t>
  </si>
  <si>
    <t>w175</t>
  </si>
  <si>
    <t>w176</t>
  </si>
  <si>
    <t>w177</t>
  </si>
  <si>
    <t>w178</t>
  </si>
  <si>
    <t>w179</t>
  </si>
  <si>
    <t>w180</t>
  </si>
  <si>
    <t>w181</t>
  </si>
  <si>
    <t>w182</t>
  </si>
  <si>
    <t>w183</t>
  </si>
  <si>
    <t>w184</t>
  </si>
  <si>
    <t>w185</t>
  </si>
  <si>
    <t>w186</t>
  </si>
  <si>
    <t>w187</t>
  </si>
  <si>
    <t>w188</t>
  </si>
  <si>
    <t>w189</t>
  </si>
  <si>
    <t>w190</t>
  </si>
  <si>
    <t>w191</t>
  </si>
  <si>
    <t>w192</t>
  </si>
  <si>
    <t>w193</t>
  </si>
  <si>
    <t>w194</t>
  </si>
  <si>
    <t>w195</t>
  </si>
  <si>
    <t>w196</t>
  </si>
  <si>
    <t>w197</t>
  </si>
  <si>
    <t>w198</t>
  </si>
  <si>
    <t>w199</t>
  </si>
  <si>
    <t>w200</t>
  </si>
  <si>
    <t>w201</t>
  </si>
  <si>
    <t>w202</t>
  </si>
  <si>
    <t>w203</t>
  </si>
  <si>
    <t>w204</t>
  </si>
  <si>
    <t>w205</t>
  </si>
  <si>
    <t>w206</t>
  </si>
  <si>
    <t>w207</t>
  </si>
  <si>
    <t>w208</t>
  </si>
  <si>
    <t>w209</t>
  </si>
  <si>
    <t>w210</t>
  </si>
  <si>
    <t>w211</t>
  </si>
  <si>
    <t>w212</t>
  </si>
  <si>
    <t>w213</t>
  </si>
  <si>
    <t>w214</t>
  </si>
  <si>
    <t>w215</t>
  </si>
  <si>
    <t>w216</t>
  </si>
  <si>
    <t>w217</t>
  </si>
  <si>
    <t>w218</t>
  </si>
  <si>
    <t>w219</t>
  </si>
  <si>
    <t>w220</t>
  </si>
  <si>
    <t>w221</t>
  </si>
  <si>
    <t>w222</t>
  </si>
  <si>
    <t>w223</t>
  </si>
  <si>
    <t>w224</t>
  </si>
  <si>
    <t>w225</t>
  </si>
  <si>
    <t>w226</t>
  </si>
  <si>
    <t>w227</t>
  </si>
  <si>
    <t>w228</t>
  </si>
  <si>
    <t>w229</t>
  </si>
  <si>
    <t>w230</t>
  </si>
  <si>
    <t>w231</t>
  </si>
  <si>
    <t>w232</t>
  </si>
  <si>
    <t>w233</t>
  </si>
  <si>
    <t>w234</t>
  </si>
  <si>
    <t>w235</t>
  </si>
  <si>
    <t>w236</t>
  </si>
  <si>
    <t>w237</t>
  </si>
  <si>
    <t>w238</t>
  </si>
  <si>
    <t>w239</t>
  </si>
  <si>
    <t>w240</t>
  </si>
  <si>
    <t>w241</t>
  </si>
  <si>
    <t>w242</t>
  </si>
  <si>
    <t>w243</t>
  </si>
  <si>
    <t>w244</t>
  </si>
  <si>
    <t>w245</t>
  </si>
  <si>
    <t>w246</t>
  </si>
  <si>
    <t>w247</t>
  </si>
  <si>
    <t>w248</t>
  </si>
  <si>
    <t>w249</t>
  </si>
  <si>
    <t>w250</t>
  </si>
  <si>
    <t>w251</t>
  </si>
  <si>
    <t>w252</t>
  </si>
  <si>
    <t>w253</t>
  </si>
  <si>
    <t>w254</t>
  </si>
  <si>
    <t>w255</t>
  </si>
  <si>
    <t>w256</t>
  </si>
  <si>
    <t>w257</t>
  </si>
  <si>
    <t>w258</t>
  </si>
  <si>
    <t>w259</t>
  </si>
  <si>
    <t>w260</t>
  </si>
  <si>
    <t>w261</t>
  </si>
  <si>
    <t>w262</t>
  </si>
  <si>
    <t>w263</t>
  </si>
  <si>
    <t>w264</t>
  </si>
  <si>
    <t>w265</t>
  </si>
  <si>
    <t>w266</t>
  </si>
  <si>
    <t>w267</t>
  </si>
  <si>
    <t>w268</t>
  </si>
  <si>
    <t>w269</t>
  </si>
  <si>
    <t>w270</t>
  </si>
  <si>
    <t>w271</t>
  </si>
  <si>
    <t>w272</t>
  </si>
  <si>
    <t>w273</t>
  </si>
  <si>
    <t>w274</t>
  </si>
  <si>
    <t>w275</t>
  </si>
  <si>
    <t>w276</t>
  </si>
  <si>
    <t>w277</t>
  </si>
  <si>
    <t>w278</t>
  </si>
  <si>
    <t>w279</t>
  </si>
  <si>
    <t>w280</t>
  </si>
  <si>
    <t>w281</t>
  </si>
  <si>
    <t>w282</t>
  </si>
  <si>
    <t>w283</t>
  </si>
  <si>
    <t>w284</t>
  </si>
  <si>
    <t>w285</t>
  </si>
  <si>
    <t>w286</t>
  </si>
  <si>
    <t>w287</t>
  </si>
  <si>
    <t>w288</t>
  </si>
  <si>
    <t>w289</t>
  </si>
  <si>
    <t>w290</t>
  </si>
  <si>
    <t>w291</t>
  </si>
  <si>
    <t>w292</t>
  </si>
  <si>
    <t>w293</t>
  </si>
  <si>
    <t>w294</t>
  </si>
  <si>
    <t>w295</t>
  </si>
  <si>
    <t>w296</t>
  </si>
  <si>
    <t>w297</t>
  </si>
  <si>
    <t>w298</t>
  </si>
  <si>
    <t>w299</t>
  </si>
  <si>
    <t>w300</t>
  </si>
  <si>
    <t>RESPOSTAS QUESTÕES</t>
  </si>
  <si>
    <t>QUAL O ATIVO QUE APRESENTA A MELHOR RELAÇÃO DE RISCO E RETORNO?</t>
  </si>
  <si>
    <t>MÍN CV</t>
  </si>
  <si>
    <t>CV=0,51 ou #=1,95</t>
  </si>
  <si>
    <t>Sharpe(#)</t>
  </si>
  <si>
    <t>infinito</t>
  </si>
  <si>
    <t>PELO COEFICIENTE DE VARIAÇÃO OBSERVADO TEMOS O ATIVO ITUB3, APRESENTA MENOR VALOR EM RISCO POR 1 REAL DE RETORNO. De outro lado, o inverso do CV é o índice de sharpe que é o menor positivo</t>
  </si>
  <si>
    <t>w301</t>
  </si>
  <si>
    <t>w302</t>
  </si>
  <si>
    <t>w303</t>
  </si>
  <si>
    <t>w304</t>
  </si>
  <si>
    <t>w305</t>
  </si>
  <si>
    <t>w306</t>
  </si>
  <si>
    <t>(ETF+Ações+SELIC)</t>
  </si>
  <si>
    <t>(Ações)</t>
  </si>
  <si>
    <t>(Ações+ETF)</t>
  </si>
  <si>
    <t>APENAS ITUB3</t>
  </si>
  <si>
    <t>APENAS IBOV</t>
  </si>
  <si>
    <t>APENAS SELIC</t>
  </si>
  <si>
    <t>Ativo A</t>
  </si>
  <si>
    <t>Ativo B</t>
  </si>
  <si>
    <t>Retorno</t>
  </si>
  <si>
    <t>Risco</t>
  </si>
  <si>
    <t>Quais ativos possuem maior  potencial de diversificação de risco?</t>
  </si>
  <si>
    <t>Qual é aproximadamente o ponto de mínimo da carteira?</t>
  </si>
  <si>
    <t>(Entre 80% e 90%)</t>
  </si>
  <si>
    <t>(O complemento da escolha acima)</t>
  </si>
  <si>
    <t>Índice de Sharpe da carteira =</t>
  </si>
  <si>
    <t>vou usar dos pontos</t>
  </si>
  <si>
    <t>Quais ativos possuem maior  potencial de diversificação de risco? Resposta na ABA DADOS E Análise em M300</t>
  </si>
  <si>
    <t>Carteira</t>
  </si>
  <si>
    <t xml:space="preserve">   Pesos</t>
  </si>
  <si>
    <t>Horizonte de Tempo:</t>
  </si>
  <si>
    <t>Método Paramétrico Distribuição Normal</t>
  </si>
  <si>
    <t>Desvio Padrão</t>
  </si>
  <si>
    <t>Intervalo de Confiança:</t>
  </si>
  <si>
    <t>Value-at-Risk</t>
  </si>
  <si>
    <t>Valor da carteira=</t>
  </si>
  <si>
    <t>VaR_b</t>
  </si>
  <si>
    <t>VaR_a</t>
  </si>
  <si>
    <t>VaR_ab</t>
  </si>
  <si>
    <t>A=AURE3</t>
  </si>
  <si>
    <t>B=ITUB3</t>
  </si>
  <si>
    <t>Houve redução da perda com a diversificação de carteira conforme visto em VaR_ab&lt;VaR_b&lt;VaR_a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</si>
</sst>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%"/>
    <numFmt numFmtId="165" formatCode="0.000000%"/>
    <numFmt numFmtId="166" formatCode="0.00000"/>
    <numFmt numFmtId="167" formatCode="0.0000"/>
    <numFmt numFmtId="168" formatCode="0.0%"/>
    <numFmt numFmtId="169" formatCode="_-* #,##0.000_-;\-* #,##0.000_-;_-* &quot;-&quot;??_-;_-@_-"/>
    <numFmt numFmtId="170" formatCode="&quot;R$&quot;\ #,##0.00"/>
  </numFmts>
  <fonts count="3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indexed="12"/>
      <name val="Arial"/>
      <family val="2"/>
    </font>
    <font>
      <b/>
      <sz val="14"/>
      <name val="Arial"/>
      <family val="2"/>
    </font>
    <font>
      <b/>
      <sz val="14"/>
      <color rgb="FF00B050"/>
      <name val="Arial"/>
      <family val="2"/>
    </font>
    <font>
      <b/>
      <sz val="14"/>
      <color rgb="FFC00000"/>
      <name val="Arial"/>
      <family val="2"/>
    </font>
    <font>
      <b/>
      <sz val="14"/>
      <color rgb="FFFFC000"/>
      <name val="Arial"/>
      <family val="2"/>
    </font>
    <font>
      <b/>
      <sz val="11"/>
      <color rgb="FF00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242424"/>
      <name val="Consolas"/>
      <charset val="1"/>
    </font>
    <font>
      <sz val="11"/>
      <color rgb="FF7030A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sz val="11"/>
      <color rgb="FF0D38D6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C000"/>
      <name val="Aptos Narrow"/>
      <family val="2"/>
      <scheme val="minor"/>
    </font>
    <font>
      <b/>
      <sz val="11"/>
      <color rgb="FF0D38D6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4"/>
      <color theme="9"/>
      <name val="Arial"/>
      <family val="2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0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/>
    </xf>
    <xf numFmtId="0" fontId="0" fillId="0" borderId="3" xfId="0" applyBorder="1"/>
    <xf numFmtId="0" fontId="0" fillId="0" borderId="5" xfId="0" applyBorder="1"/>
    <xf numFmtId="10" fontId="2" fillId="0" borderId="0" xfId="0" applyNumberFormat="1" applyFont="1"/>
    <xf numFmtId="0" fontId="0" fillId="0" borderId="4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9" xfId="0" applyFont="1" applyFill="1" applyBorder="1"/>
    <xf numFmtId="0" fontId="7" fillId="2" borderId="10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10" fontId="6" fillId="2" borderId="0" xfId="2" applyNumberFormat="1" applyFont="1" applyFill="1" applyBorder="1" applyAlignment="1">
      <alignment horizontal="center"/>
    </xf>
    <xf numFmtId="43" fontId="6" fillId="2" borderId="13" xfId="1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43" fontId="8" fillId="2" borderId="13" xfId="1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10" fontId="9" fillId="2" borderId="0" xfId="2" applyNumberFormat="1" applyFont="1" applyFill="1" applyBorder="1" applyAlignment="1">
      <alignment horizontal="center"/>
    </xf>
    <xf numFmtId="43" fontId="9" fillId="2" borderId="13" xfId="1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10" fontId="7" fillId="2" borderId="0" xfId="2" applyNumberFormat="1" applyFont="1" applyFill="1" applyBorder="1" applyAlignment="1">
      <alignment horizontal="center"/>
    </xf>
    <xf numFmtId="43" fontId="7" fillId="2" borderId="13" xfId="1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10" fontId="10" fillId="2" borderId="15" xfId="0" applyNumberFormat="1" applyFont="1" applyFill="1" applyBorder="1" applyAlignment="1">
      <alignment horizontal="center"/>
    </xf>
    <xf numFmtId="43" fontId="10" fillId="2" borderId="16" xfId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4" fillId="0" borderId="3" xfId="0" applyFont="1" applyBorder="1"/>
    <xf numFmtId="10" fontId="12" fillId="0" borderId="0" xfId="0" applyNumberFormat="1" applyFont="1"/>
    <xf numFmtId="10" fontId="12" fillId="0" borderId="8" xfId="0" applyNumberFormat="1" applyFont="1" applyBorder="1"/>
    <xf numFmtId="0" fontId="13" fillId="0" borderId="0" xfId="0" applyFont="1"/>
    <xf numFmtId="2" fontId="0" fillId="0" borderId="0" xfId="0" applyNumberFormat="1"/>
    <xf numFmtId="0" fontId="15" fillId="0" borderId="0" xfId="0" applyFont="1" applyAlignment="1">
      <alignment horizontal="center"/>
    </xf>
    <xf numFmtId="0" fontId="15" fillId="0" borderId="0" xfId="0" applyFont="1"/>
    <xf numFmtId="0" fontId="6" fillId="2" borderId="17" xfId="0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0" fontId="9" fillId="2" borderId="18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10" fillId="2" borderId="19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0" fontId="10" fillId="2" borderId="22" xfId="0" applyFont="1" applyFill="1" applyBorder="1" applyAlignment="1">
      <alignment horizontal="center"/>
    </xf>
    <xf numFmtId="0" fontId="0" fillId="3" borderId="0" xfId="0" applyFill="1"/>
    <xf numFmtId="166" fontId="0" fillId="0" borderId="0" xfId="0" applyNumberFormat="1"/>
    <xf numFmtId="167" fontId="0" fillId="0" borderId="0" xfId="0" applyNumberFormat="1"/>
    <xf numFmtId="10" fontId="21" fillId="0" borderId="0" xfId="0" applyNumberFormat="1" applyFont="1"/>
    <xf numFmtId="10" fontId="21" fillId="0" borderId="8" xfId="0" applyNumberFormat="1" applyFont="1" applyBorder="1"/>
    <xf numFmtId="10" fontId="17" fillId="0" borderId="0" xfId="0" applyNumberFormat="1" applyFont="1"/>
    <xf numFmtId="10" fontId="17" fillId="0" borderId="8" xfId="0" applyNumberFormat="1" applyFont="1" applyBorder="1"/>
    <xf numFmtId="10" fontId="3" fillId="0" borderId="0" xfId="0" applyNumberFormat="1" applyFont="1"/>
    <xf numFmtId="10" fontId="3" fillId="0" borderId="8" xfId="0" applyNumberFormat="1" applyFont="1" applyBorder="1"/>
    <xf numFmtId="10" fontId="18" fillId="0" borderId="0" xfId="0" applyNumberFormat="1" applyFont="1"/>
    <xf numFmtId="164" fontId="14" fillId="0" borderId="4" xfId="0" applyNumberFormat="1" applyFont="1" applyBorder="1"/>
    <xf numFmtId="164" fontId="14" fillId="0" borderId="6" xfId="0" applyNumberFormat="1" applyFont="1" applyBorder="1"/>
    <xf numFmtId="167" fontId="25" fillId="0" borderId="0" xfId="0" applyNumberFormat="1" applyFont="1"/>
    <xf numFmtId="165" fontId="0" fillId="0" borderId="0" xfId="0" applyNumberFormat="1"/>
    <xf numFmtId="10" fontId="26" fillId="2" borderId="0" xfId="2" applyNumberFormat="1" applyFont="1" applyFill="1" applyBorder="1" applyAlignment="1">
      <alignment horizontal="center"/>
    </xf>
    <xf numFmtId="10" fontId="15" fillId="0" borderId="7" xfId="0" applyNumberFormat="1" applyFont="1" applyBorder="1"/>
    <xf numFmtId="168" fontId="15" fillId="0" borderId="7" xfId="0" applyNumberFormat="1" applyFont="1" applyBorder="1"/>
    <xf numFmtId="0" fontId="7" fillId="2" borderId="0" xfId="0" applyFont="1" applyFill="1" applyAlignment="1">
      <alignment horizontal="center"/>
    </xf>
    <xf numFmtId="10" fontId="10" fillId="2" borderId="0" xfId="2" applyNumberFormat="1" applyFont="1" applyFill="1" applyBorder="1" applyAlignment="1">
      <alignment horizontal="center"/>
    </xf>
    <xf numFmtId="0" fontId="0" fillId="5" borderId="0" xfId="0" applyFill="1"/>
    <xf numFmtId="0" fontId="5" fillId="5" borderId="0" xfId="0" applyFont="1" applyFill="1" applyAlignment="1">
      <alignment horizontal="center"/>
    </xf>
    <xf numFmtId="0" fontId="5" fillId="5" borderId="0" xfId="0" applyFont="1" applyFill="1"/>
    <xf numFmtId="165" fontId="5" fillId="5" borderId="0" xfId="0" applyNumberFormat="1" applyFont="1" applyFill="1"/>
    <xf numFmtId="0" fontId="22" fillId="5" borderId="0" xfId="0" applyFont="1" applyFill="1"/>
    <xf numFmtId="2" fontId="28" fillId="0" borderId="0" xfId="0" applyNumberFormat="1" applyFont="1"/>
    <xf numFmtId="10" fontId="28" fillId="0" borderId="0" xfId="0" applyNumberFormat="1" applyFont="1" applyAlignment="1">
      <alignment horizontal="center"/>
    </xf>
    <xf numFmtId="0" fontId="16" fillId="0" borderId="0" xfId="0" applyFont="1"/>
    <xf numFmtId="0" fontId="19" fillId="5" borderId="0" xfId="0" applyFont="1" applyFill="1"/>
    <xf numFmtId="0" fontId="21" fillId="0" borderId="0" xfId="0" applyFont="1"/>
    <xf numFmtId="0" fontId="20" fillId="5" borderId="0" xfId="0" applyFont="1" applyFill="1"/>
    <xf numFmtId="0" fontId="2" fillId="0" borderId="0" xfId="0" applyFont="1"/>
    <xf numFmtId="2" fontId="18" fillId="0" borderId="0" xfId="0" applyNumberFormat="1" applyFont="1"/>
    <xf numFmtId="0" fontId="18" fillId="0" borderId="0" xfId="0" applyFont="1"/>
    <xf numFmtId="0" fontId="23" fillId="5" borderId="0" xfId="0" applyFont="1" applyFill="1"/>
    <xf numFmtId="2" fontId="29" fillId="0" borderId="0" xfId="0" applyNumberFormat="1" applyFont="1"/>
    <xf numFmtId="0" fontId="29" fillId="0" borderId="0" xfId="0" applyFont="1"/>
    <xf numFmtId="0" fontId="24" fillId="5" borderId="0" xfId="0" applyFont="1" applyFill="1"/>
    <xf numFmtId="0" fontId="24" fillId="0" borderId="0" xfId="0" applyFont="1" applyAlignment="1">
      <alignment horizontal="center"/>
    </xf>
    <xf numFmtId="2" fontId="21" fillId="0" borderId="0" xfId="0" applyNumberFormat="1" applyFont="1"/>
    <xf numFmtId="2" fontId="16" fillId="0" borderId="0" xfId="0" applyNumberFormat="1" applyFont="1"/>
    <xf numFmtId="2" fontId="2" fillId="0" borderId="0" xfId="0" applyNumberFormat="1" applyFont="1"/>
    <xf numFmtId="9" fontId="0" fillId="0" borderId="0" xfId="0" applyNumberFormat="1"/>
    <xf numFmtId="9" fontId="0" fillId="5" borderId="0" xfId="0" applyNumberFormat="1" applyFill="1"/>
    <xf numFmtId="10" fontId="0" fillId="5" borderId="0" xfId="0" applyNumberFormat="1" applyFill="1"/>
    <xf numFmtId="0" fontId="5" fillId="4" borderId="0" xfId="0" applyFont="1" applyFill="1"/>
    <xf numFmtId="0" fontId="0" fillId="4" borderId="0" xfId="0" applyFill="1"/>
    <xf numFmtId="0" fontId="5" fillId="4" borderId="23" xfId="0" applyFont="1" applyFill="1" applyBorder="1" applyAlignment="1">
      <alignment horizontal="center"/>
    </xf>
    <xf numFmtId="9" fontId="0" fillId="4" borderId="23" xfId="0" applyNumberFormat="1" applyFill="1" applyBorder="1" applyAlignment="1">
      <alignment horizontal="center"/>
    </xf>
    <xf numFmtId="9" fontId="0" fillId="4" borderId="0" xfId="0" applyNumberFormat="1" applyFill="1" applyAlignment="1">
      <alignment horizontal="center"/>
    </xf>
    <xf numFmtId="0" fontId="5" fillId="4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1" fontId="0" fillId="6" borderId="23" xfId="0" applyNumberForma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" fontId="0" fillId="7" borderId="23" xfId="0" applyNumberFormat="1" applyFill="1" applyBorder="1" applyAlignment="1">
      <alignment horizontal="center" vertical="center"/>
    </xf>
    <xf numFmtId="1" fontId="0" fillId="8" borderId="23" xfId="0" applyNumberFormat="1" applyFill="1" applyBorder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0" fontId="5" fillId="4" borderId="12" xfId="0" applyFont="1" applyFill="1" applyBorder="1"/>
    <xf numFmtId="0" fontId="0" fillId="4" borderId="12" xfId="0" applyFill="1" applyBorder="1"/>
    <xf numFmtId="0" fontId="0" fillId="4" borderId="13" xfId="0" applyFill="1" applyBorder="1"/>
    <xf numFmtId="9" fontId="5" fillId="9" borderId="0" xfId="0" applyNumberFormat="1" applyFont="1" applyFill="1" applyAlignment="1">
      <alignment horizontal="center"/>
    </xf>
    <xf numFmtId="9" fontId="5" fillId="7" borderId="0" xfId="0" applyNumberFormat="1" applyFont="1" applyFill="1" applyAlignment="1">
      <alignment horizontal="center"/>
    </xf>
    <xf numFmtId="9" fontId="5" fillId="8" borderId="0" xfId="0" applyNumberFormat="1" applyFont="1" applyFill="1" applyAlignment="1">
      <alignment horizontal="center"/>
    </xf>
    <xf numFmtId="0" fontId="0" fillId="0" borderId="12" xfId="0" applyBorder="1"/>
    <xf numFmtId="10" fontId="31" fillId="0" borderId="26" xfId="0" applyNumberFormat="1" applyFont="1" applyBorder="1" applyAlignment="1">
      <alignment horizontal="center"/>
    </xf>
    <xf numFmtId="0" fontId="0" fillId="0" borderId="13" xfId="0" applyBorder="1"/>
    <xf numFmtId="0" fontId="0" fillId="4" borderId="14" xfId="0" applyFill="1" applyBorder="1"/>
    <xf numFmtId="0" fontId="0" fillId="4" borderId="15" xfId="0" applyFill="1" applyBorder="1"/>
    <xf numFmtId="0" fontId="0" fillId="4" borderId="16" xfId="0" applyFill="1" applyBorder="1"/>
    <xf numFmtId="168" fontId="0" fillId="4" borderId="0" xfId="2" applyNumberFormat="1" applyFont="1" applyFill="1"/>
    <xf numFmtId="170" fontId="0" fillId="0" borderId="0" xfId="0" applyNumberFormat="1"/>
    <xf numFmtId="9" fontId="0" fillId="4" borderId="0" xfId="0" applyNumberFormat="1" applyFill="1"/>
    <xf numFmtId="10" fontId="0" fillId="4" borderId="0" xfId="0" applyNumberFormat="1" applyFill="1"/>
    <xf numFmtId="0" fontId="0" fillId="5" borderId="15" xfId="0" applyFill="1" applyBorder="1"/>
    <xf numFmtId="169" fontId="0" fillId="5" borderId="15" xfId="1" applyNumberFormat="1" applyFont="1" applyFill="1" applyBorder="1"/>
    <xf numFmtId="170" fontId="0" fillId="5" borderId="15" xfId="0" applyNumberFormat="1" applyFill="1" applyBorder="1"/>
    <xf numFmtId="10" fontId="5" fillId="5" borderId="0" xfId="0" applyNumberFormat="1" applyFont="1" applyFill="1" applyAlignment="1">
      <alignment horizontal="center"/>
    </xf>
    <xf numFmtId="168" fontId="5" fillId="5" borderId="13" xfId="2" applyNumberFormat="1" applyFont="1" applyFill="1" applyBorder="1" applyAlignment="1">
      <alignment horizontal="center"/>
    </xf>
    <xf numFmtId="9" fontId="5" fillId="4" borderId="0" xfId="0" applyNumberFormat="1" applyFont="1" applyFill="1" applyAlignment="1">
      <alignment horizontal="center"/>
    </xf>
    <xf numFmtId="10" fontId="31" fillId="4" borderId="0" xfId="0" applyNumberFormat="1" applyFont="1" applyFill="1" applyAlignment="1">
      <alignment horizontal="center"/>
    </xf>
    <xf numFmtId="0" fontId="32" fillId="4" borderId="0" xfId="0" applyFont="1" applyFill="1"/>
    <xf numFmtId="43" fontId="32" fillId="4" borderId="0" xfId="1" applyFont="1" applyFill="1" applyBorder="1"/>
    <xf numFmtId="0" fontId="25" fillId="4" borderId="0" xfId="0" applyFont="1" applyFill="1"/>
    <xf numFmtId="0" fontId="28" fillId="4" borderId="0" xfId="0" applyFont="1" applyFill="1"/>
    <xf numFmtId="0" fontId="33" fillId="4" borderId="0" xfId="0" applyFont="1" applyFill="1"/>
    <xf numFmtId="0" fontId="27" fillId="4" borderId="0" xfId="0" applyFont="1" applyFill="1" applyAlignment="1">
      <alignment horizontal="center"/>
    </xf>
    <xf numFmtId="0" fontId="28" fillId="4" borderId="0" xfId="0" applyFont="1" applyFill="1" applyAlignment="1">
      <alignment horizontal="center"/>
    </xf>
    <xf numFmtId="0" fontId="28" fillId="9" borderId="24" xfId="0" applyFont="1" applyFill="1" applyBorder="1" applyAlignment="1">
      <alignment horizontal="center"/>
    </xf>
    <xf numFmtId="0" fontId="28" fillId="9" borderId="25" xfId="0" applyFont="1" applyFill="1" applyBorder="1" applyAlignment="1">
      <alignment horizontal="center"/>
    </xf>
    <xf numFmtId="0" fontId="28" fillId="9" borderId="26" xfId="0" applyFont="1" applyFill="1" applyBorder="1" applyAlignment="1">
      <alignment horizontal="center"/>
    </xf>
    <xf numFmtId="0" fontId="28" fillId="7" borderId="24" xfId="0" applyFont="1" applyFill="1" applyBorder="1" applyAlignment="1">
      <alignment horizontal="center"/>
    </xf>
    <xf numFmtId="0" fontId="28" fillId="7" borderId="25" xfId="0" applyFont="1" applyFill="1" applyBorder="1" applyAlignment="1">
      <alignment horizontal="center"/>
    </xf>
    <xf numFmtId="0" fontId="28" fillId="7" borderId="26" xfId="0" applyFont="1" applyFill="1" applyBorder="1" applyAlignment="1">
      <alignment horizontal="center"/>
    </xf>
    <xf numFmtId="0" fontId="28" fillId="8" borderId="24" xfId="0" applyFont="1" applyFill="1" applyBorder="1" applyAlignment="1">
      <alignment horizontal="center"/>
    </xf>
    <xf numFmtId="0" fontId="28" fillId="8" borderId="25" xfId="0" applyFont="1" applyFill="1" applyBorder="1" applyAlignment="1">
      <alignment horizontal="center"/>
    </xf>
    <xf numFmtId="0" fontId="28" fillId="8" borderId="26" xfId="0" applyFont="1" applyFill="1" applyBorder="1" applyAlignment="1">
      <alignment horizontal="center"/>
    </xf>
    <xf numFmtId="0" fontId="27" fillId="10" borderId="24" xfId="0" applyFont="1" applyFill="1" applyBorder="1" applyAlignment="1">
      <alignment horizontal="center"/>
    </xf>
    <xf numFmtId="0" fontId="27" fillId="10" borderId="25" xfId="0" applyFont="1" applyFill="1" applyBorder="1" applyAlignment="1">
      <alignment horizontal="center"/>
    </xf>
    <xf numFmtId="0" fontId="27" fillId="10" borderId="26" xfId="0" applyFont="1" applyFill="1" applyBorder="1" applyAlignment="1">
      <alignment horizontal="center"/>
    </xf>
    <xf numFmtId="0" fontId="28" fillId="11" borderId="24" xfId="0" applyFont="1" applyFill="1" applyBorder="1" applyAlignment="1">
      <alignment horizontal="center"/>
    </xf>
    <xf numFmtId="0" fontId="28" fillId="11" borderId="25" xfId="0" applyFont="1" applyFill="1" applyBorder="1" applyAlignment="1">
      <alignment horizontal="center"/>
    </xf>
    <xf numFmtId="0" fontId="28" fillId="11" borderId="26" xfId="0" applyFont="1" applyFill="1" applyBorder="1" applyAlignment="1">
      <alignment horizontal="center"/>
    </xf>
    <xf numFmtId="0" fontId="27" fillId="12" borderId="24" xfId="0" applyFont="1" applyFill="1" applyBorder="1" applyAlignment="1">
      <alignment horizontal="center"/>
    </xf>
    <xf numFmtId="0" fontId="27" fillId="12" borderId="25" xfId="0" applyFont="1" applyFill="1" applyBorder="1" applyAlignment="1">
      <alignment horizontal="center"/>
    </xf>
    <xf numFmtId="0" fontId="27" fillId="12" borderId="26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2" fontId="17" fillId="0" borderId="0" xfId="0" applyNumberFormat="1" applyFont="1" applyAlignment="1">
      <alignment horizontal="center"/>
    </xf>
    <xf numFmtId="10" fontId="14" fillId="0" borderId="7" xfId="0" applyNumberFormat="1" applyFont="1" applyBorder="1" applyAlignment="1">
      <alignment horizontal="center"/>
    </xf>
    <xf numFmtId="10" fontId="16" fillId="0" borderId="0" xfId="0" applyNumberFormat="1" applyFont="1" applyAlignment="1">
      <alignment horizontal="center"/>
    </xf>
    <xf numFmtId="10" fontId="21" fillId="0" borderId="0" xfId="0" applyNumberFormat="1" applyFont="1" applyAlignment="1">
      <alignment horizontal="center"/>
    </xf>
    <xf numFmtId="10" fontId="17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0" fontId="18" fillId="0" borderId="0" xfId="0" applyNumberFormat="1" applyFont="1" applyAlignment="1">
      <alignment horizontal="center"/>
    </xf>
    <xf numFmtId="10" fontId="15" fillId="0" borderId="0" xfId="0" applyNumberFormat="1" applyFont="1" applyAlignment="1">
      <alignment horizontal="center"/>
    </xf>
    <xf numFmtId="10" fontId="16" fillId="0" borderId="7" xfId="0" applyNumberFormat="1" applyFont="1" applyBorder="1" applyAlignment="1">
      <alignment horizontal="center"/>
    </xf>
    <xf numFmtId="10" fontId="21" fillId="0" borderId="7" xfId="0" applyNumberFormat="1" applyFont="1" applyBorder="1" applyAlignment="1">
      <alignment horizontal="center"/>
    </xf>
    <xf numFmtId="10" fontId="2" fillId="0" borderId="7" xfId="0" applyNumberFormat="1" applyFon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18" fillId="4" borderId="7" xfId="0" applyNumberFormat="1" applyFont="1" applyFill="1" applyBorder="1" applyAlignment="1">
      <alignment horizontal="center"/>
    </xf>
    <xf numFmtId="2" fontId="16" fillId="0" borderId="0" xfId="0" applyNumberFormat="1" applyFont="1" applyAlignment="1">
      <alignment horizontal="center"/>
    </xf>
    <xf numFmtId="2" fontId="21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4" fillId="0" borderId="1" xfId="0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Medium9"/>
  <colors>
    <mruColors>
      <color rgb="FF0D38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2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030579008949186"/>
          <c:y val="5.2380952380952382E-2"/>
          <c:w val="0.74352949857171469"/>
          <c:h val="0.799571428571428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FFFFFF"/>
              </a:solidFill>
              <a:prstDash val="solid"/>
              <a:round/>
            </a:ln>
            <a:effectLst/>
          </c:spPr>
          <c:marker>
            <c:symbol val="circle"/>
            <c:size val="10"/>
            <c:spPr>
              <a:solidFill>
                <a:srgbClr val="002060"/>
              </a:solidFill>
              <a:ln w="9525">
                <a:solidFill>
                  <a:srgbClr val="637CEF"/>
                </a:solidFill>
              </a:ln>
              <a:effectLst/>
            </c:spPr>
          </c:marker>
          <c:dPt>
            <c:idx val="0"/>
            <c:marker>
              <c:symbol val="circle"/>
              <c:size val="10"/>
              <c:spPr>
                <a:solidFill>
                  <a:srgbClr val="00B0F0"/>
                </a:solidFill>
                <a:ln w="9525">
                  <a:solidFill>
                    <a:srgbClr val="637CE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0380-4EC1-BEC1-2B7794D93463}"/>
              </c:ext>
            </c:extLst>
          </c:dPt>
          <c:dPt>
            <c:idx val="1"/>
            <c:marker>
              <c:symbol val="circle"/>
              <c:size val="10"/>
              <c:spPr>
                <a:solidFill>
                  <a:srgbClr val="00B050"/>
                </a:solidFill>
                <a:ln w="9525">
                  <a:solidFill>
                    <a:srgbClr val="637CE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314C-4E1B-8594-07D46DD2B5CA}"/>
              </c:ext>
            </c:extLst>
          </c:dPt>
          <c:dPt>
            <c:idx val="2"/>
            <c:marker>
              <c:symbol val="circle"/>
              <c:size val="10"/>
              <c:spPr>
                <a:solidFill>
                  <a:srgbClr val="FF0000"/>
                </a:solidFill>
                <a:ln w="9525">
                  <a:solidFill>
                    <a:srgbClr val="637CE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314C-4E1B-8594-07D46DD2B5CA}"/>
              </c:ext>
            </c:extLst>
          </c:dPt>
          <c:dPt>
            <c:idx val="3"/>
            <c:marker>
              <c:symbol val="circle"/>
              <c:size val="10"/>
              <c:spPr>
                <a:solidFill>
                  <a:srgbClr val="000000"/>
                </a:solidFill>
                <a:ln w="9525">
                  <a:solidFill>
                    <a:srgbClr val="637CE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0380-4EC1-BEC1-2B7794D93463}"/>
              </c:ext>
            </c:extLst>
          </c:dPt>
          <c:dPt>
            <c:idx val="4"/>
            <c:marker>
              <c:symbol val="circle"/>
              <c:size val="10"/>
              <c:spPr>
                <a:solidFill>
                  <a:srgbClr val="FFC000"/>
                </a:solidFill>
                <a:ln w="9525">
                  <a:solidFill>
                    <a:srgbClr val="637CE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0380-4EC1-BEC1-2B7794D93463}"/>
              </c:ext>
            </c:extLst>
          </c:dPt>
          <c:xVal>
            <c:numRef>
              <c:f>'DADOS e Análise'!$C$258:$C$262</c:f>
              <c:numCache>
                <c:formatCode>0.00%</c:formatCode>
                <c:ptCount val="5"/>
                <c:pt idx="0">
                  <c:v>0.38079503160915357</c:v>
                </c:pt>
                <c:pt idx="1">
                  <c:v>0.32944090804348486</c:v>
                </c:pt>
                <c:pt idx="2">
                  <c:v>0.27934694130047294</c:v>
                </c:pt>
                <c:pt idx="3">
                  <c:v>0.19429123877890941</c:v>
                </c:pt>
                <c:pt idx="4">
                  <c:v>0.15370263582835361</c:v>
                </c:pt>
              </c:numCache>
            </c:numRef>
          </c:xVal>
          <c:yVal>
            <c:numRef>
              <c:f>'DADOS e Análise'!$B$258:$B$262</c:f>
              <c:numCache>
                <c:formatCode>0.00%</c:formatCode>
                <c:ptCount val="5"/>
                <c:pt idx="0">
                  <c:v>-2.4074467206402383E-2</c:v>
                </c:pt>
                <c:pt idx="1">
                  <c:v>0.13190102038621102</c:v>
                </c:pt>
                <c:pt idx="2">
                  <c:v>-6.6608446370589422E-2</c:v>
                </c:pt>
                <c:pt idx="3">
                  <c:v>0.37856790990129457</c:v>
                </c:pt>
                <c:pt idx="4">
                  <c:v>0.20846489095633081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380-4EC1-BEC1-2B7794D93463}"/>
            </c:ext>
          </c:extLst>
        </c:ser>
        <c:ser>
          <c:idx val="1"/>
          <c:order val="1"/>
          <c:spPr>
            <a:ln w="19050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rgbClr val="7030A0"/>
              </a:solidFill>
              <a:ln w="9525">
                <a:solidFill>
                  <a:srgbClr val="E3008C"/>
                </a:solidFill>
              </a:ln>
              <a:effectLst/>
            </c:spPr>
          </c:marker>
          <c:xVal>
            <c:numRef>
              <c:f>'DADOS e Análise'!$L$254</c:f>
              <c:numCache>
                <c:formatCode>0.00%</c:formatCode>
                <c:ptCount val="1"/>
                <c:pt idx="0">
                  <c:v>4.2185921500502122E-5</c:v>
                </c:pt>
              </c:numCache>
            </c:numRef>
          </c:xVal>
          <c:yVal>
            <c:numRef>
              <c:f>'DADOS e Análise'!$L$253</c:f>
              <c:numCache>
                <c:formatCode>0.00%</c:formatCode>
                <c:ptCount val="1"/>
                <c:pt idx="0">
                  <c:v>0.12908464182741208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4C-4E1B-8594-07D46DD2B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0036872"/>
        <c:axId val="1140474887"/>
      </c:scatterChart>
      <c:valAx>
        <c:axId val="1080036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Risco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474887"/>
        <c:crosses val="autoZero"/>
        <c:crossBetween val="midCat"/>
      </c:valAx>
      <c:valAx>
        <c:axId val="11404748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Retorno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036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E4F5"/>
              </a:solidFill>
              <a:ln w="9525">
                <a:solidFill>
                  <a:srgbClr val="637CEF"/>
                </a:solidFill>
              </a:ln>
              <a:effectLst/>
            </c:spPr>
          </c:marker>
          <c:dPt>
            <c:idx val="16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637CE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B69A-41B3-8B15-07F6F992AD44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637CE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B69A-41B3-8B15-07F6F992AD44}"/>
              </c:ext>
            </c:extLst>
          </c:dPt>
          <c:dPt>
            <c:idx val="67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637CE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B69A-41B3-8B15-07F6F992AD44}"/>
              </c:ext>
            </c:extLst>
          </c:dPt>
          <c:dPt>
            <c:idx val="6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637CE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B69A-41B3-8B15-07F6F992AD44}"/>
              </c:ext>
            </c:extLst>
          </c:dPt>
          <c:dPt>
            <c:idx val="8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637CE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B69A-41B3-8B15-07F6F992AD44}"/>
              </c:ext>
            </c:extLst>
          </c:dPt>
          <c:dPt>
            <c:idx val="98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637CEF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69A-41B3-8B15-07F6F992AD44}"/>
              </c:ext>
            </c:extLst>
          </c:dPt>
          <c:xVal>
            <c:numRef>
              <c:f>'DADOS e Análise'!$I$273:$I$372</c:f>
              <c:numCache>
                <c:formatCode>General</c:formatCode>
                <c:ptCount val="100"/>
                <c:pt idx="0">
                  <c:v>0.6498971442315028</c:v>
                </c:pt>
                <c:pt idx="1">
                  <c:v>0.66223280193248213</c:v>
                </c:pt>
                <c:pt idx="2">
                  <c:v>0.65521520089249696</c:v>
                </c:pt>
                <c:pt idx="3">
                  <c:v>0.70137689147124993</c:v>
                </c:pt>
                <c:pt idx="4">
                  <c:v>0.69541080063804062</c:v>
                </c:pt>
                <c:pt idx="5">
                  <c:v>0.65962004905070382</c:v>
                </c:pt>
                <c:pt idx="6">
                  <c:v>0.76658724483671647</c:v>
                </c:pt>
                <c:pt idx="7">
                  <c:v>0.66280573990970482</c:v>
                </c:pt>
                <c:pt idx="8">
                  <c:v>0.66554882588455655</c:v>
                </c:pt>
                <c:pt idx="9">
                  <c:v>0.66279538478754652</c:v>
                </c:pt>
                <c:pt idx="10">
                  <c:v>0.69248306990384323</c:v>
                </c:pt>
                <c:pt idx="11">
                  <c:v>0.68150106613133932</c:v>
                </c:pt>
                <c:pt idx="12">
                  <c:v>0.67962106632691355</c:v>
                </c:pt>
                <c:pt idx="13">
                  <c:v>0.65269615368230671</c:v>
                </c:pt>
                <c:pt idx="14">
                  <c:v>0.70526151099266177</c:v>
                </c:pt>
                <c:pt idx="15">
                  <c:v>0.69720941679233517</c:v>
                </c:pt>
                <c:pt idx="16">
                  <c:v>0.75319545689355705</c:v>
                </c:pt>
                <c:pt idx="17">
                  <c:v>0.64788364132012921</c:v>
                </c:pt>
                <c:pt idx="18">
                  <c:v>0.65118668234244703</c:v>
                </c:pt>
                <c:pt idx="19">
                  <c:v>0.6479514319376779</c:v>
                </c:pt>
                <c:pt idx="20">
                  <c:v>0.66749831978942531</c:v>
                </c:pt>
                <c:pt idx="21">
                  <c:v>0.69691347660013936</c:v>
                </c:pt>
                <c:pt idx="22">
                  <c:v>0.6662839638110335</c:v>
                </c:pt>
                <c:pt idx="23">
                  <c:v>0.70608119733889196</c:v>
                </c:pt>
                <c:pt idx="24">
                  <c:v>0.68122671110134847</c:v>
                </c:pt>
                <c:pt idx="25">
                  <c:v>0.70050846858779747</c:v>
                </c:pt>
                <c:pt idx="26">
                  <c:v>0.70067655785599159</c:v>
                </c:pt>
                <c:pt idx="27">
                  <c:v>0.6975918881715385</c:v>
                </c:pt>
                <c:pt idx="28">
                  <c:v>0.67023948884610052</c:v>
                </c:pt>
                <c:pt idx="29">
                  <c:v>0.6584067270280104</c:v>
                </c:pt>
                <c:pt idx="30">
                  <c:v>0.71478541524165318</c:v>
                </c:pt>
                <c:pt idx="31">
                  <c:v>0.66123233711206864</c:v>
                </c:pt>
                <c:pt idx="32">
                  <c:v>0.70633025610540034</c:v>
                </c:pt>
                <c:pt idx="33">
                  <c:v>0.7280288657034879</c:v>
                </c:pt>
                <c:pt idx="34">
                  <c:v>0.6897519988503632</c:v>
                </c:pt>
                <c:pt idx="35">
                  <c:v>0.68319450749125599</c:v>
                </c:pt>
                <c:pt idx="36">
                  <c:v>0.65306611568523132</c:v>
                </c:pt>
                <c:pt idx="37">
                  <c:v>0.70856077389241978</c:v>
                </c:pt>
                <c:pt idx="38">
                  <c:v>0.64884170891334347</c:v>
                </c:pt>
                <c:pt idx="39">
                  <c:v>0.66695088809435543</c:v>
                </c:pt>
                <c:pt idx="40">
                  <c:v>0.65878439469314187</c:v>
                </c:pt>
                <c:pt idx="41">
                  <c:v>0.66175843488349284</c:v>
                </c:pt>
                <c:pt idx="42">
                  <c:v>0.76730373538780139</c:v>
                </c:pt>
                <c:pt idx="43">
                  <c:v>0.72619832198630829</c:v>
                </c:pt>
                <c:pt idx="44">
                  <c:v>0.67876288138950391</c:v>
                </c:pt>
                <c:pt idx="45">
                  <c:v>0.66480193898407525</c:v>
                </c:pt>
                <c:pt idx="46">
                  <c:v>0.68412322056163111</c:v>
                </c:pt>
                <c:pt idx="47">
                  <c:v>0.67777033246167673</c:v>
                </c:pt>
                <c:pt idx="48">
                  <c:v>0.65884498504683964</c:v>
                </c:pt>
                <c:pt idx="49">
                  <c:v>0.67684548060847438</c:v>
                </c:pt>
                <c:pt idx="50">
                  <c:v>0.67145789766240793</c:v>
                </c:pt>
                <c:pt idx="51">
                  <c:v>0.67194120507865551</c:v>
                </c:pt>
                <c:pt idx="52">
                  <c:v>0.67539608244195759</c:v>
                </c:pt>
                <c:pt idx="53">
                  <c:v>0.6616673177155119</c:v>
                </c:pt>
                <c:pt idx="54">
                  <c:v>0.67363337585802341</c:v>
                </c:pt>
                <c:pt idx="55">
                  <c:v>0.68212187747407871</c:v>
                </c:pt>
                <c:pt idx="56">
                  <c:v>0.68823341816998773</c:v>
                </c:pt>
                <c:pt idx="57">
                  <c:v>0.69849935081309478</c:v>
                </c:pt>
                <c:pt idx="58">
                  <c:v>0.7798893472489008</c:v>
                </c:pt>
                <c:pt idx="59">
                  <c:v>0.67070838728639481</c:v>
                </c:pt>
                <c:pt idx="60">
                  <c:v>0.64986998919628003</c:v>
                </c:pt>
                <c:pt idx="61">
                  <c:v>0.66546845918769659</c:v>
                </c:pt>
                <c:pt idx="62">
                  <c:v>0.67135096367373148</c:v>
                </c:pt>
                <c:pt idx="63">
                  <c:v>0.67603176621217365</c:v>
                </c:pt>
                <c:pt idx="64">
                  <c:v>0.73896304064945317</c:v>
                </c:pt>
                <c:pt idx="65">
                  <c:v>0.79637541834282499</c:v>
                </c:pt>
                <c:pt idx="66">
                  <c:v>0.67756814700057821</c:v>
                </c:pt>
                <c:pt idx="67">
                  <c:v>0.66748335186905816</c:v>
                </c:pt>
                <c:pt idx="68">
                  <c:v>0.6458348201153169</c:v>
                </c:pt>
                <c:pt idx="69">
                  <c:v>0.6943835473240475</c:v>
                </c:pt>
                <c:pt idx="70">
                  <c:v>0.69693229311024607</c:v>
                </c:pt>
                <c:pt idx="71">
                  <c:v>0.74967169148119195</c:v>
                </c:pt>
                <c:pt idx="72">
                  <c:v>0.7246976148586658</c:v>
                </c:pt>
                <c:pt idx="73">
                  <c:v>0.65586536666292417</c:v>
                </c:pt>
                <c:pt idx="74">
                  <c:v>0.65215157918439914</c:v>
                </c:pt>
                <c:pt idx="75">
                  <c:v>0.6477971251775636</c:v>
                </c:pt>
                <c:pt idx="76">
                  <c:v>0.7017782416219791</c:v>
                </c:pt>
                <c:pt idx="77">
                  <c:v>0.68767511281423233</c:v>
                </c:pt>
                <c:pt idx="78">
                  <c:v>0.72160780010171344</c:v>
                </c:pt>
                <c:pt idx="79">
                  <c:v>0.69055101591129897</c:v>
                </c:pt>
                <c:pt idx="80">
                  <c:v>0.82089243604212869</c:v>
                </c:pt>
                <c:pt idx="81">
                  <c:v>0.65151731621525477</c:v>
                </c:pt>
                <c:pt idx="82">
                  <c:v>0.68113744563831002</c:v>
                </c:pt>
                <c:pt idx="83">
                  <c:v>0.79263242583012117</c:v>
                </c:pt>
                <c:pt idx="84">
                  <c:v>0.70242958034685454</c:v>
                </c:pt>
                <c:pt idx="85">
                  <c:v>0.69284954016088107</c:v>
                </c:pt>
                <c:pt idx="86">
                  <c:v>0.67132149526871465</c:v>
                </c:pt>
                <c:pt idx="87">
                  <c:v>0.67560081858835064</c:v>
                </c:pt>
                <c:pt idx="88">
                  <c:v>0.65928259609187245</c:v>
                </c:pt>
                <c:pt idx="89">
                  <c:v>0.70959250582448719</c:v>
                </c:pt>
                <c:pt idx="90">
                  <c:v>0.67791798323786456</c:v>
                </c:pt>
                <c:pt idx="91">
                  <c:v>0.70218832278732468</c:v>
                </c:pt>
                <c:pt idx="92">
                  <c:v>0.68912279468357052</c:v>
                </c:pt>
                <c:pt idx="93">
                  <c:v>0.65278887529135288</c:v>
                </c:pt>
                <c:pt idx="94">
                  <c:v>0.6745935281533747</c:v>
                </c:pt>
                <c:pt idx="95">
                  <c:v>0.65641137244868608</c:v>
                </c:pt>
                <c:pt idx="96">
                  <c:v>0.65005498114649252</c:v>
                </c:pt>
                <c:pt idx="97">
                  <c:v>0.69873163660479443</c:v>
                </c:pt>
                <c:pt idx="98">
                  <c:v>0.82715895898680525</c:v>
                </c:pt>
                <c:pt idx="99">
                  <c:v>0.68484310429643369</c:v>
                </c:pt>
              </c:numCache>
            </c:numRef>
          </c:xVal>
          <c:yVal>
            <c:numRef>
              <c:f>'DADOS e Análise'!$H$273:$H$372</c:f>
              <c:numCache>
                <c:formatCode>0.000000%</c:formatCode>
                <c:ptCount val="100"/>
                <c:pt idx="0">
                  <c:v>0.10842565124808043</c:v>
                </c:pt>
                <c:pt idx="1">
                  <c:v>0.1262710436716637</c:v>
                </c:pt>
                <c:pt idx="2">
                  <c:v>0.10916143320279227</c:v>
                </c:pt>
                <c:pt idx="3">
                  <c:v>0.15487092128913077</c:v>
                </c:pt>
                <c:pt idx="4">
                  <c:v>6.4556204619006741E-2</c:v>
                </c:pt>
                <c:pt idx="5">
                  <c:v>2.3143744342719083E-2</c:v>
                </c:pt>
                <c:pt idx="6">
                  <c:v>7.917897780081963E-2</c:v>
                </c:pt>
                <c:pt idx="7">
                  <c:v>1.6623369428504054E-2</c:v>
                </c:pt>
                <c:pt idx="8">
                  <c:v>2.5233072083722913E-2</c:v>
                </c:pt>
                <c:pt idx="9">
                  <c:v>8.6309256492041506E-2</c:v>
                </c:pt>
                <c:pt idx="10">
                  <c:v>0.10393521343933676</c:v>
                </c:pt>
                <c:pt idx="11">
                  <c:v>2.6792172104501771E-2</c:v>
                </c:pt>
                <c:pt idx="12">
                  <c:v>9.2150919088654568E-2</c:v>
                </c:pt>
                <c:pt idx="13">
                  <c:v>8.6724497862589331E-2</c:v>
                </c:pt>
                <c:pt idx="14">
                  <c:v>6.0399675550350869E-2</c:v>
                </c:pt>
                <c:pt idx="15">
                  <c:v>7.2064079069372691E-2</c:v>
                </c:pt>
                <c:pt idx="16">
                  <c:v>0.22727000251499027</c:v>
                </c:pt>
                <c:pt idx="17">
                  <c:v>4.5410558833978328E-2</c:v>
                </c:pt>
                <c:pt idx="18">
                  <c:v>9.0214201378337563E-2</c:v>
                </c:pt>
                <c:pt idx="19">
                  <c:v>9.8785200715765104E-2</c:v>
                </c:pt>
                <c:pt idx="20">
                  <c:v>-4.8220133272131906E-4</c:v>
                </c:pt>
                <c:pt idx="21">
                  <c:v>0.15862843435137405</c:v>
                </c:pt>
                <c:pt idx="22">
                  <c:v>7.8021774890908557E-2</c:v>
                </c:pt>
                <c:pt idx="23">
                  <c:v>-9.5523875624843498E-3</c:v>
                </c:pt>
                <c:pt idx="24">
                  <c:v>0.19416696281027612</c:v>
                </c:pt>
                <c:pt idx="25">
                  <c:v>2.2320480860624228E-2</c:v>
                </c:pt>
                <c:pt idx="26">
                  <c:v>9.1082585693105372E-3</c:v>
                </c:pt>
                <c:pt idx="27">
                  <c:v>0.1319366028419072</c:v>
                </c:pt>
                <c:pt idx="28">
                  <c:v>0.10345743488920084</c:v>
                </c:pt>
                <c:pt idx="29">
                  <c:v>0.10366787759997337</c:v>
                </c:pt>
                <c:pt idx="30">
                  <c:v>0.10748168382509173</c:v>
                </c:pt>
                <c:pt idx="31">
                  <c:v>1.5098885844187428E-2</c:v>
                </c:pt>
                <c:pt idx="32">
                  <c:v>9.7372433663429805E-2</c:v>
                </c:pt>
                <c:pt idx="33">
                  <c:v>-8.5302220186803702E-3</c:v>
                </c:pt>
                <c:pt idx="34">
                  <c:v>9.871491334888946E-2</c:v>
                </c:pt>
                <c:pt idx="35">
                  <c:v>0.17965470338443518</c:v>
                </c:pt>
                <c:pt idx="36">
                  <c:v>6.2286221917422349E-2</c:v>
                </c:pt>
                <c:pt idx="37">
                  <c:v>0.12385024915624254</c:v>
                </c:pt>
                <c:pt idx="38">
                  <c:v>9.763544643336361E-2</c:v>
                </c:pt>
                <c:pt idx="39">
                  <c:v>8.8073680578723335E-2</c:v>
                </c:pt>
                <c:pt idx="40">
                  <c:v>8.3556894120246972E-2</c:v>
                </c:pt>
                <c:pt idx="41">
                  <c:v>2.4870637757234901E-3</c:v>
                </c:pt>
                <c:pt idx="42">
                  <c:v>0.2137917309695738</c:v>
                </c:pt>
                <c:pt idx="43">
                  <c:v>5.254401778844113E-2</c:v>
                </c:pt>
                <c:pt idx="44">
                  <c:v>6.5993730786055402E-2</c:v>
                </c:pt>
                <c:pt idx="45">
                  <c:v>8.2195132129269377E-2</c:v>
                </c:pt>
                <c:pt idx="46">
                  <c:v>1.5351799635925246E-3</c:v>
                </c:pt>
                <c:pt idx="47">
                  <c:v>5.4102349701245001E-2</c:v>
                </c:pt>
                <c:pt idx="48">
                  <c:v>0.11219103982419075</c:v>
                </c:pt>
                <c:pt idx="49">
                  <c:v>0.12963930659367651</c:v>
                </c:pt>
                <c:pt idx="50">
                  <c:v>0.12874492092609086</c:v>
                </c:pt>
                <c:pt idx="51">
                  <c:v>9.6816846069292722E-2</c:v>
                </c:pt>
                <c:pt idx="52">
                  <c:v>0.15523649094153272</c:v>
                </c:pt>
                <c:pt idx="53">
                  <c:v>6.6819277015695483E-2</c:v>
                </c:pt>
                <c:pt idx="54">
                  <c:v>9.3040453858338562E-2</c:v>
                </c:pt>
                <c:pt idx="55">
                  <c:v>0.18873228066629744</c:v>
                </c:pt>
                <c:pt idx="56">
                  <c:v>0.10357668942410603</c:v>
                </c:pt>
                <c:pt idx="57">
                  <c:v>9.4027811978710379E-2</c:v>
                </c:pt>
                <c:pt idx="58">
                  <c:v>0.10971430123197878</c:v>
                </c:pt>
                <c:pt idx="59">
                  <c:v>0.11163397512387856</c:v>
                </c:pt>
                <c:pt idx="60">
                  <c:v>7.1984892850862042E-2</c:v>
                </c:pt>
                <c:pt idx="61">
                  <c:v>6.3686381972634654E-2</c:v>
                </c:pt>
                <c:pt idx="62">
                  <c:v>0.13564383639060987</c:v>
                </c:pt>
                <c:pt idx="63">
                  <c:v>3.2257887360097062E-2</c:v>
                </c:pt>
                <c:pt idx="64">
                  <c:v>0.18705019736567324</c:v>
                </c:pt>
                <c:pt idx="65">
                  <c:v>2.8514595782856846E-2</c:v>
                </c:pt>
                <c:pt idx="66">
                  <c:v>0.16045542601450247</c:v>
                </c:pt>
                <c:pt idx="67">
                  <c:v>0.1665802910321256</c:v>
                </c:pt>
                <c:pt idx="68">
                  <c:v>0.1067253971689387</c:v>
                </c:pt>
                <c:pt idx="69">
                  <c:v>6.5446673716918202E-2</c:v>
                </c:pt>
                <c:pt idx="70">
                  <c:v>0.13590356545346272</c:v>
                </c:pt>
                <c:pt idx="71">
                  <c:v>4.6037700065442271E-2</c:v>
                </c:pt>
                <c:pt idx="72">
                  <c:v>2.0975476655975558E-2</c:v>
                </c:pt>
                <c:pt idx="73">
                  <c:v>7.5298026513905922E-2</c:v>
                </c:pt>
                <c:pt idx="74">
                  <c:v>5.4289470506913184E-2</c:v>
                </c:pt>
                <c:pt idx="75">
                  <c:v>6.1604305248859764E-2</c:v>
                </c:pt>
                <c:pt idx="76">
                  <c:v>0.14638600460269252</c:v>
                </c:pt>
                <c:pt idx="77">
                  <c:v>5.3541172788804235E-2</c:v>
                </c:pt>
                <c:pt idx="78">
                  <c:v>9.2104616025901961E-2</c:v>
                </c:pt>
                <c:pt idx="79">
                  <c:v>7.6992091789180719E-2</c:v>
                </c:pt>
                <c:pt idx="80">
                  <c:v>1.4216342846064073E-2</c:v>
                </c:pt>
                <c:pt idx="81">
                  <c:v>0.13278173608702154</c:v>
                </c:pt>
                <c:pt idx="82">
                  <c:v>2.3901396050426207E-2</c:v>
                </c:pt>
                <c:pt idx="83">
                  <c:v>4.7098751647158862E-2</c:v>
                </c:pt>
                <c:pt idx="84">
                  <c:v>0.10831725814307686</c:v>
                </c:pt>
                <c:pt idx="85">
                  <c:v>0.12623712664776127</c:v>
                </c:pt>
                <c:pt idx="86">
                  <c:v>8.845531118871422E-2</c:v>
                </c:pt>
                <c:pt idx="87">
                  <c:v>0.12761570221344329</c:v>
                </c:pt>
                <c:pt idx="88">
                  <c:v>9.2552802349879823E-2</c:v>
                </c:pt>
                <c:pt idx="89">
                  <c:v>7.5386719238339533E-2</c:v>
                </c:pt>
                <c:pt idx="90">
                  <c:v>3.0179408235943093E-2</c:v>
                </c:pt>
                <c:pt idx="91">
                  <c:v>0.14168940968536045</c:v>
                </c:pt>
                <c:pt idx="92">
                  <c:v>0.13815906732919875</c:v>
                </c:pt>
                <c:pt idx="93">
                  <c:v>9.0977688551195757E-2</c:v>
                </c:pt>
                <c:pt idx="94">
                  <c:v>7.0368142843074244E-2</c:v>
                </c:pt>
                <c:pt idx="95">
                  <c:v>2.3706054600946554E-2</c:v>
                </c:pt>
                <c:pt idx="96">
                  <c:v>3.962439969506569E-2</c:v>
                </c:pt>
                <c:pt idx="97">
                  <c:v>0.16361055138317313</c:v>
                </c:pt>
                <c:pt idx="98">
                  <c:v>0.23327760529381991</c:v>
                </c:pt>
                <c:pt idx="99">
                  <c:v>0.14022963335868394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9A-41B3-8B15-07F6F992A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250824"/>
        <c:axId val="1208032776"/>
      </c:scatterChart>
      <c:valAx>
        <c:axId val="1025250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RIsco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032776"/>
        <c:crosses val="autoZero"/>
        <c:crossBetween val="midCat"/>
      </c:valAx>
      <c:valAx>
        <c:axId val="1208032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Retorno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250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Fronteira Eficiente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A2C-4F9F-B856-B0334E9C9BD4}"/>
              </c:ext>
            </c:extLst>
          </c:dPt>
          <c:xVal>
            <c:numRef>
              <c:f>'DADOS e Análise'!$O$301:$O$311</c:f>
              <c:numCache>
                <c:formatCode>General</c:formatCode>
                <c:ptCount val="11"/>
                <c:pt idx="0">
                  <c:v>0.19429123877890941</c:v>
                </c:pt>
                <c:pt idx="1">
                  <c:v>0.1813738234770737</c:v>
                </c:pt>
                <c:pt idx="2">
                  <c:v>0.17520028808469318</c:v>
                </c:pt>
                <c:pt idx="3">
                  <c:v>0.176479791401292</c:v>
                </c:pt>
                <c:pt idx="4">
                  <c:v>0.18505780536617439</c:v>
                </c:pt>
                <c:pt idx="5">
                  <c:v>0.19999741149990793</c:v>
                </c:pt>
                <c:pt idx="6">
                  <c:v>0.22000644675145181</c:v>
                </c:pt>
                <c:pt idx="7">
                  <c:v>0.24384012660666127</c:v>
                </c:pt>
                <c:pt idx="8">
                  <c:v>0.27048932844148044</c:v>
                </c:pt>
                <c:pt idx="9">
                  <c:v>0.29920268211316359</c:v>
                </c:pt>
                <c:pt idx="10">
                  <c:v>0.32944090804348486</c:v>
                </c:pt>
              </c:numCache>
            </c:numRef>
          </c:xVal>
          <c:yVal>
            <c:numRef>
              <c:f>'DADOS e Análise'!$N$301:$N$311</c:f>
              <c:numCache>
                <c:formatCode>0.00%</c:formatCode>
                <c:ptCount val="11"/>
                <c:pt idx="0">
                  <c:v>0.37856790990129457</c:v>
                </c:pt>
                <c:pt idx="1">
                  <c:v>0.35390122094978621</c:v>
                </c:pt>
                <c:pt idx="2">
                  <c:v>0.3292345319982779</c:v>
                </c:pt>
                <c:pt idx="3">
                  <c:v>0.30456784304676948</c:v>
                </c:pt>
                <c:pt idx="4">
                  <c:v>0.27990115409526117</c:v>
                </c:pt>
                <c:pt idx="5">
                  <c:v>0.25523446514375281</c:v>
                </c:pt>
                <c:pt idx="6">
                  <c:v>0.23056777619224444</c:v>
                </c:pt>
                <c:pt idx="7">
                  <c:v>0.20590108724073608</c:v>
                </c:pt>
                <c:pt idx="8">
                  <c:v>0.18123439828922772</c:v>
                </c:pt>
                <c:pt idx="9">
                  <c:v>0.15656770933771938</c:v>
                </c:pt>
                <c:pt idx="10">
                  <c:v>0.13190102038621102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5DF-47D5-BCBD-2C447BDE4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678367"/>
        <c:axId val="1919678847"/>
      </c:scatterChart>
      <c:valAx>
        <c:axId val="191967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9678847"/>
        <c:crosses val="autoZero"/>
        <c:crossBetween val="midCat"/>
      </c:valAx>
      <c:valAx>
        <c:axId val="191967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9678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Fronteira Eficiente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8BB-4EE0-9EE3-5CDB3068E7E7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68BB-4EE0-9EE3-5CDB3068E7E7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68BB-4EE0-9EE3-5CDB3068E7E7}"/>
              </c:ext>
            </c:extLst>
          </c:dPt>
          <c:xVal>
            <c:numRef>
              <c:f>'DADOS e Análise'!$O$301:$O$311</c:f>
              <c:numCache>
                <c:formatCode>General</c:formatCode>
                <c:ptCount val="11"/>
                <c:pt idx="0">
                  <c:v>0.19429123877890941</c:v>
                </c:pt>
                <c:pt idx="1">
                  <c:v>0.1813738234770737</c:v>
                </c:pt>
                <c:pt idx="2">
                  <c:v>0.17520028808469318</c:v>
                </c:pt>
                <c:pt idx="3">
                  <c:v>0.176479791401292</c:v>
                </c:pt>
                <c:pt idx="4">
                  <c:v>0.18505780536617439</c:v>
                </c:pt>
                <c:pt idx="5">
                  <c:v>0.19999741149990793</c:v>
                </c:pt>
                <c:pt idx="6">
                  <c:v>0.22000644675145181</c:v>
                </c:pt>
                <c:pt idx="7">
                  <c:v>0.24384012660666127</c:v>
                </c:pt>
                <c:pt idx="8">
                  <c:v>0.27048932844148044</c:v>
                </c:pt>
                <c:pt idx="9">
                  <c:v>0.29920268211316359</c:v>
                </c:pt>
                <c:pt idx="10">
                  <c:v>0.32944090804348486</c:v>
                </c:pt>
              </c:numCache>
            </c:numRef>
          </c:xVal>
          <c:yVal>
            <c:numRef>
              <c:f>'DADOS e Análise'!$N$301:$N$311</c:f>
              <c:numCache>
                <c:formatCode>0.00%</c:formatCode>
                <c:ptCount val="11"/>
                <c:pt idx="0">
                  <c:v>0.37856790990129457</c:v>
                </c:pt>
                <c:pt idx="1">
                  <c:v>0.35390122094978621</c:v>
                </c:pt>
                <c:pt idx="2">
                  <c:v>0.3292345319982779</c:v>
                </c:pt>
                <c:pt idx="3">
                  <c:v>0.30456784304676948</c:v>
                </c:pt>
                <c:pt idx="4">
                  <c:v>0.27990115409526117</c:v>
                </c:pt>
                <c:pt idx="5">
                  <c:v>0.25523446514375281</c:v>
                </c:pt>
                <c:pt idx="6">
                  <c:v>0.23056777619224444</c:v>
                </c:pt>
                <c:pt idx="7">
                  <c:v>0.20590108724073608</c:v>
                </c:pt>
                <c:pt idx="8">
                  <c:v>0.18123439828922772</c:v>
                </c:pt>
                <c:pt idx="9">
                  <c:v>0.15656770933771938</c:v>
                </c:pt>
                <c:pt idx="10">
                  <c:v>0.13190102038621102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8BB-4EE0-9EE3-5CDB3068E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678367"/>
        <c:axId val="1919678847"/>
      </c:scatterChart>
      <c:valAx>
        <c:axId val="1919678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9678847"/>
        <c:crosses val="autoZero"/>
        <c:crossBetween val="midCat"/>
      </c:valAx>
      <c:valAx>
        <c:axId val="191967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9678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255</xdr:row>
      <xdr:rowOff>85725</xdr:rowOff>
    </xdr:from>
    <xdr:to>
      <xdr:col>10</xdr:col>
      <xdr:colOff>0</xdr:colOff>
      <xdr:row>268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AAC89E2-2989-14D3-F24E-27D9592D8D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28575</xdr:colOff>
      <xdr:row>278</xdr:row>
      <xdr:rowOff>85725</xdr:rowOff>
    </xdr:from>
    <xdr:to>
      <xdr:col>17</xdr:col>
      <xdr:colOff>177800</xdr:colOff>
      <xdr:row>295</xdr:row>
      <xdr:rowOff>114300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962EAF1-DC67-8810-9F83-B593DC3CF009}"/>
            </a:ext>
            <a:ext uri="{147F2762-F138-4A5C-976F-8EAC2B608ADB}">
              <a16:predDERef xmlns:a16="http://schemas.microsoft.com/office/drawing/2014/main" pred="{3AAC89E2-2989-14D3-F24E-27D9592D8D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457200</xdr:colOff>
      <xdr:row>260</xdr:row>
      <xdr:rowOff>146050</xdr:rowOff>
    </xdr:from>
    <xdr:to>
      <xdr:col>30</xdr:col>
      <xdr:colOff>19050</xdr:colOff>
      <xdr:row>282</xdr:row>
      <xdr:rowOff>25400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FD3A2F4-7C96-EA05-1B5B-A8A3B013C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91000" y="48202850"/>
          <a:ext cx="7715250" cy="428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625475</xdr:colOff>
      <xdr:row>296</xdr:row>
      <xdr:rowOff>104775</xdr:rowOff>
    </xdr:from>
    <xdr:to>
      <xdr:col>22</xdr:col>
      <xdr:colOff>1</xdr:colOff>
      <xdr:row>311</xdr:row>
      <xdr:rowOff>28575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4C93008-286E-D977-7F3C-F9C197C20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9</xdr:row>
      <xdr:rowOff>95250</xdr:rowOff>
    </xdr:from>
    <xdr:to>
      <xdr:col>15</xdr:col>
      <xdr:colOff>358776</xdr:colOff>
      <xdr:row>24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2F80EB8-7BD1-4F7C-A775-2F50655B21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aphael Marques Franco" id="{0AA72BE3-E8E6-4B03-A808-15C3C057478B}" userId="S::r035501@g.unicamp.br::87b9d6a0-2d8e-4627-8b0b-170edb8d8f9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53" dT="2025-11-19T06:41:57.98" personId="{0AA72BE3-E8E6-4B03-A808-15C3C057478B}" id="{BBF1174C-3CA8-4DBA-8211-4A01DD45BA03}">
    <text>A proposta era ter uma amostra anual que tenha 252 amostra de valores referentes a cotação. Contudo, para cálculo da média via o retorno diário do ativo temos 249 amostras.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37"/>
  <sheetViews>
    <sheetView topLeftCell="D250" zoomScaleNormal="100" workbookViewId="0">
      <selection activeCell="L2" sqref="L2:L252"/>
    </sheetView>
  </sheetViews>
  <sheetFormatPr defaultRowHeight="14.5" x14ac:dyDescent="0.35"/>
  <cols>
    <col min="1" max="1" width="13.453125" style="2" bestFit="1" customWidth="1"/>
    <col min="2" max="2" width="16.1796875" bestFit="1" customWidth="1"/>
    <col min="3" max="3" width="15.81640625" style="1" bestFit="1" customWidth="1"/>
    <col min="4" max="4" width="12.54296875" bestFit="1" customWidth="1"/>
    <col min="5" max="5" width="15.81640625" bestFit="1" customWidth="1"/>
    <col min="6" max="6" width="12.54296875" bestFit="1" customWidth="1"/>
    <col min="7" max="7" width="15.81640625" bestFit="1" customWidth="1"/>
    <col min="8" max="8" width="12.54296875" bestFit="1" customWidth="1"/>
    <col min="9" max="9" width="15.81640625" bestFit="1" customWidth="1"/>
    <col min="10" max="10" width="11.81640625" bestFit="1" customWidth="1"/>
    <col min="11" max="11" width="15.81640625" bestFit="1" customWidth="1"/>
    <col min="12" max="12" width="12.453125" bestFit="1" customWidth="1"/>
    <col min="13" max="13" width="13.81640625" bestFit="1" customWidth="1"/>
    <col min="14" max="14" width="14.453125" bestFit="1" customWidth="1"/>
    <col min="15" max="16" width="13.81640625" bestFit="1" customWidth="1"/>
    <col min="23" max="23" width="10.36328125" bestFit="1" customWidth="1"/>
    <col min="30" max="30" width="10.36328125" bestFit="1" customWidth="1"/>
  </cols>
  <sheetData>
    <row r="1" spans="1:23" s="7" customFormat="1" x14ac:dyDescent="0.35">
      <c r="A1" s="8"/>
      <c r="B1" s="169" t="s">
        <v>0</v>
      </c>
      <c r="C1" s="170"/>
      <c r="D1" s="171" t="s">
        <v>1</v>
      </c>
      <c r="E1" s="172"/>
      <c r="F1" s="173" t="s">
        <v>2</v>
      </c>
      <c r="G1" s="174"/>
      <c r="H1" s="175" t="s">
        <v>3</v>
      </c>
      <c r="I1" s="176"/>
      <c r="J1" s="177" t="s">
        <v>4</v>
      </c>
      <c r="K1" s="178"/>
      <c r="L1" s="167" t="s">
        <v>5</v>
      </c>
      <c r="M1" s="168"/>
      <c r="O1" s="31"/>
      <c r="P1" s="32"/>
      <c r="Q1" s="32"/>
      <c r="R1" s="32"/>
      <c r="S1" s="32"/>
      <c r="T1" s="32"/>
      <c r="U1" s="32"/>
      <c r="V1" s="32"/>
      <c r="W1" s="32"/>
    </row>
    <row r="2" spans="1:23" x14ac:dyDescent="0.35">
      <c r="A2" s="8" t="s">
        <v>6</v>
      </c>
      <c r="B2" s="3" t="s">
        <v>7</v>
      </c>
      <c r="C2" s="1" t="s">
        <v>8</v>
      </c>
      <c r="D2" s="3" t="s">
        <v>7</v>
      </c>
      <c r="E2" s="1" t="s">
        <v>8</v>
      </c>
      <c r="F2" s="3" t="s">
        <v>7</v>
      </c>
      <c r="G2" s="1" t="s">
        <v>8</v>
      </c>
      <c r="H2" s="3" t="s">
        <v>7</v>
      </c>
      <c r="I2" s="1" t="s">
        <v>8</v>
      </c>
      <c r="J2" s="3" t="s">
        <v>7</v>
      </c>
      <c r="K2" s="1" t="s">
        <v>8</v>
      </c>
      <c r="L2" s="3" t="s">
        <v>7</v>
      </c>
      <c r="M2" s="6" t="s">
        <v>9</v>
      </c>
    </row>
    <row r="3" spans="1:23" x14ac:dyDescent="0.35">
      <c r="A3" s="9">
        <v>45614</v>
      </c>
      <c r="B3" s="28">
        <v>6.4823824352999999</v>
      </c>
      <c r="C3" s="5"/>
      <c r="D3" s="3">
        <v>9.734857796</v>
      </c>
      <c r="F3" s="3">
        <v>24.030666796999999</v>
      </c>
      <c r="H3" s="3">
        <v>24.517997839</v>
      </c>
      <c r="J3" s="3">
        <v>127768.19</v>
      </c>
      <c r="L3" s="3">
        <v>11.15</v>
      </c>
      <c r="M3" s="55">
        <f>(1+L3/100)^(1/252) -1</f>
        <v>4.1957392677338667E-4</v>
      </c>
    </row>
    <row r="4" spans="1:23" x14ac:dyDescent="0.35">
      <c r="A4" s="9">
        <v>45615</v>
      </c>
      <c r="B4" s="3">
        <v>6.5005149735999996</v>
      </c>
      <c r="C4" s="29">
        <f>LN(B4/B3)</f>
        <v>2.7932979086032227E-3</v>
      </c>
      <c r="D4" s="3">
        <v>9.8242595513000008</v>
      </c>
      <c r="E4" s="48">
        <f>LN(D4/D3)</f>
        <v>9.141759961210489E-3</v>
      </c>
      <c r="F4" s="3">
        <v>24.161522236</v>
      </c>
      <c r="G4" s="50">
        <f>LN(F4/F3)</f>
        <v>5.430579652670112E-3</v>
      </c>
      <c r="H4" s="3">
        <v>24.783595648999999</v>
      </c>
      <c r="I4" s="52">
        <f>LN(H4/H3)</f>
        <v>1.0774515006335457E-2</v>
      </c>
      <c r="J4" s="3">
        <v>128197.25</v>
      </c>
      <c r="K4" s="54">
        <f>LN(J4/J3)</f>
        <v>3.352486975244913E-3</v>
      </c>
      <c r="L4" s="3">
        <v>11.15</v>
      </c>
      <c r="M4" s="55">
        <f t="shared" ref="M4:M67" si="0">(1+L4/100)^(1/252) -1</f>
        <v>4.1957392677338667E-4</v>
      </c>
    </row>
    <row r="5" spans="1:23" x14ac:dyDescent="0.35">
      <c r="A5" s="9">
        <v>45617</v>
      </c>
      <c r="B5" s="3">
        <v>6.591177665</v>
      </c>
      <c r="C5" s="29">
        <f t="shared" ref="C5:C68" si="1">LN(B5/B4)</f>
        <v>1.385063693343358E-2</v>
      </c>
      <c r="D5" s="3">
        <v>9.6653230974</v>
      </c>
      <c r="E5" s="48">
        <f t="shared" ref="E5:E68" si="2">LN(D5/D4)</f>
        <v>-1.6310249445735305E-2</v>
      </c>
      <c r="F5" s="3">
        <v>23.610060026999999</v>
      </c>
      <c r="G5" s="50">
        <f t="shared" ref="G5:G68" si="3">LN(F5/F4)</f>
        <v>-2.3088484004910634E-2</v>
      </c>
      <c r="H5" s="3">
        <v>24.401798797000001</v>
      </c>
      <c r="I5" s="52">
        <f t="shared" ref="I5:I68" si="4">LN(H5/H4)</f>
        <v>-1.5525117769400187E-2</v>
      </c>
      <c r="J5" s="3">
        <v>126922.11</v>
      </c>
      <c r="K5" s="54">
        <f t="shared" ref="K5:K68" si="5">LN(J5/J4)</f>
        <v>-9.9965021762095461E-3</v>
      </c>
      <c r="L5" s="3">
        <v>11.15</v>
      </c>
      <c r="M5" s="55">
        <f t="shared" si="0"/>
        <v>4.1957392677338667E-4</v>
      </c>
    </row>
    <row r="6" spans="1:23" x14ac:dyDescent="0.35">
      <c r="A6" s="9">
        <v>45618</v>
      </c>
      <c r="B6" s="3">
        <v>6.6002439340999999</v>
      </c>
      <c r="C6" s="29">
        <f t="shared" si="1"/>
        <v>1.3745706570602982E-3</v>
      </c>
      <c r="D6" s="3">
        <v>9.8739271931000001</v>
      </c>
      <c r="E6" s="48">
        <f t="shared" si="2"/>
        <v>2.1353124477927997E-2</v>
      </c>
      <c r="F6" s="3">
        <v>23.927851809</v>
      </c>
      <c r="G6" s="50">
        <f t="shared" si="3"/>
        <v>1.3370234570021225E-2</v>
      </c>
      <c r="H6" s="3">
        <v>24.484798112</v>
      </c>
      <c r="I6" s="52">
        <f t="shared" si="4"/>
        <v>3.3955889751606499E-3</v>
      </c>
      <c r="J6" s="3">
        <v>129125.51</v>
      </c>
      <c r="K6" s="54">
        <f t="shared" si="5"/>
        <v>1.7211285870930827E-2</v>
      </c>
      <c r="L6" s="3">
        <v>11.15</v>
      </c>
      <c r="M6" s="55">
        <f t="shared" si="0"/>
        <v>4.1957392677338667E-4</v>
      </c>
    </row>
    <row r="7" spans="1:23" x14ac:dyDescent="0.35">
      <c r="A7" s="9">
        <v>45621</v>
      </c>
      <c r="B7" s="3">
        <v>6.5367800501</v>
      </c>
      <c r="C7" s="29">
        <f t="shared" si="1"/>
        <v>-9.6619109145317413E-3</v>
      </c>
      <c r="D7" s="3">
        <v>10.311002440999999</v>
      </c>
      <c r="E7" s="48">
        <f t="shared" si="2"/>
        <v>4.3313857061083628E-2</v>
      </c>
      <c r="F7" s="3">
        <v>24.068054064999998</v>
      </c>
      <c r="G7" s="50">
        <f t="shared" si="3"/>
        <v>5.8422755954201161E-3</v>
      </c>
      <c r="H7" s="3">
        <v>24.542897632999999</v>
      </c>
      <c r="I7" s="52">
        <f t="shared" si="4"/>
        <v>2.3700705209045029E-3</v>
      </c>
      <c r="J7" s="3">
        <v>129036.1</v>
      </c>
      <c r="K7" s="54">
        <f t="shared" si="5"/>
        <v>-6.926669195688116E-4</v>
      </c>
      <c r="L7" s="3">
        <v>11.15</v>
      </c>
      <c r="M7" s="55">
        <f t="shared" si="0"/>
        <v>4.1957392677338667E-4</v>
      </c>
    </row>
    <row r="8" spans="1:23" x14ac:dyDescent="0.35">
      <c r="A8" s="9">
        <v>45622</v>
      </c>
      <c r="B8" s="3">
        <v>6.5639788575000004</v>
      </c>
      <c r="C8" s="29">
        <f t="shared" si="1"/>
        <v>4.152255097618917E-3</v>
      </c>
      <c r="D8" s="3">
        <v>10.499739480000001</v>
      </c>
      <c r="E8" s="48">
        <f t="shared" si="2"/>
        <v>1.8138922153854386E-2</v>
      </c>
      <c r="F8" s="3">
        <v>24.452225694999999</v>
      </c>
      <c r="G8" s="50">
        <f t="shared" si="3"/>
        <v>1.5835838548931721E-2</v>
      </c>
      <c r="H8" s="3">
        <v>24.891494759</v>
      </c>
      <c r="I8" s="52">
        <f t="shared" si="4"/>
        <v>1.4103658910063837E-2</v>
      </c>
      <c r="J8" s="3">
        <v>129922.38</v>
      </c>
      <c r="K8" s="54">
        <f t="shared" si="5"/>
        <v>6.8449850374798938E-3</v>
      </c>
      <c r="L8" s="3">
        <v>11.15</v>
      </c>
      <c r="M8" s="55">
        <f t="shared" si="0"/>
        <v>4.1957392677338667E-4</v>
      </c>
    </row>
    <row r="9" spans="1:23" x14ac:dyDescent="0.35">
      <c r="A9" s="9">
        <v>45623</v>
      </c>
      <c r="B9" s="3">
        <v>6.4160582071999999</v>
      </c>
      <c r="C9" s="29">
        <f t="shared" si="1"/>
        <v>-2.2793009527020038E-2</v>
      </c>
      <c r="D9" s="3">
        <v>10.072597760000001</v>
      </c>
      <c r="E9" s="48">
        <f t="shared" si="2"/>
        <v>-4.1531801756679351E-2</v>
      </c>
      <c r="F9" s="3">
        <v>24.023573510999999</v>
      </c>
      <c r="G9" s="50">
        <f t="shared" si="3"/>
        <v>-1.768566434713505E-2</v>
      </c>
      <c r="H9" s="3">
        <v>24.26069996</v>
      </c>
      <c r="I9" s="52">
        <f t="shared" si="4"/>
        <v>-2.5668413644868934E-2</v>
      </c>
      <c r="J9" s="3">
        <v>127668.61</v>
      </c>
      <c r="K9" s="54">
        <f t="shared" si="5"/>
        <v>-1.7499272882296149E-2</v>
      </c>
      <c r="L9" s="3">
        <v>11.15</v>
      </c>
      <c r="M9" s="55">
        <f t="shared" si="0"/>
        <v>4.1957392677338667E-4</v>
      </c>
    </row>
    <row r="10" spans="1:23" x14ac:dyDescent="0.35">
      <c r="A10" s="9">
        <v>45624</v>
      </c>
      <c r="B10" s="3">
        <v>5.9445611343999998</v>
      </c>
      <c r="C10" s="29">
        <f t="shared" si="1"/>
        <v>-7.6327236258519768E-2</v>
      </c>
      <c r="D10" s="3">
        <v>9.734857796</v>
      </c>
      <c r="E10" s="48">
        <f t="shared" si="2"/>
        <v>-3.4105612451661924E-2</v>
      </c>
      <c r="F10" s="3">
        <v>23.318678809000001</v>
      </c>
      <c r="G10" s="50">
        <f t="shared" si="3"/>
        <v>-2.9780872869352618E-2</v>
      </c>
      <c r="H10" s="3">
        <v>23.62160523</v>
      </c>
      <c r="I10" s="52">
        <f t="shared" si="4"/>
        <v>-2.6695986445082327E-2</v>
      </c>
      <c r="J10" s="3">
        <v>124610.41</v>
      </c>
      <c r="K10" s="54">
        <f t="shared" si="5"/>
        <v>-2.4245772113806668E-2</v>
      </c>
      <c r="L10" s="3">
        <v>11.15</v>
      </c>
      <c r="M10" s="55">
        <f t="shared" si="0"/>
        <v>4.1957392677338667E-4</v>
      </c>
    </row>
    <row r="11" spans="1:23" x14ac:dyDescent="0.35">
      <c r="A11" s="9">
        <v>45625</v>
      </c>
      <c r="B11" s="3">
        <v>5.8983359311000001</v>
      </c>
      <c r="C11" s="29">
        <f t="shared" si="1"/>
        <v>-7.8064409059865067E-3</v>
      </c>
      <c r="D11" s="3">
        <v>9.7944589662000006</v>
      </c>
      <c r="E11" s="48">
        <f t="shared" si="2"/>
        <v>6.1037829401014527E-3</v>
      </c>
      <c r="F11" s="3">
        <v>23.594921327000002</v>
      </c>
      <c r="G11" s="50">
        <f t="shared" si="3"/>
        <v>1.1776785832956688E-2</v>
      </c>
      <c r="H11" s="3">
        <v>23.671404818999999</v>
      </c>
      <c r="I11" s="52">
        <f t="shared" si="4"/>
        <v>2.1060028682685895E-3</v>
      </c>
      <c r="J11" s="3">
        <v>125667.83</v>
      </c>
      <c r="K11" s="54">
        <f t="shared" si="5"/>
        <v>8.4500058164903129E-3</v>
      </c>
      <c r="L11" s="3">
        <v>11.15</v>
      </c>
      <c r="M11" s="55">
        <f t="shared" si="0"/>
        <v>4.1957392677338667E-4</v>
      </c>
    </row>
    <row r="12" spans="1:23" x14ac:dyDescent="0.35">
      <c r="A12" s="9">
        <v>45628</v>
      </c>
      <c r="B12" s="3">
        <v>5.8798458497999997</v>
      </c>
      <c r="C12" s="29">
        <f t="shared" si="1"/>
        <v>-3.1397200065871279E-3</v>
      </c>
      <c r="D12" s="3">
        <v>9.4666525301999993</v>
      </c>
      <c r="E12" s="48">
        <f t="shared" si="2"/>
        <v>-3.4041450949654717E-2</v>
      </c>
      <c r="F12" s="3">
        <v>23.404409245</v>
      </c>
      <c r="G12" s="50">
        <f t="shared" si="3"/>
        <v>-8.1070569780816604E-3</v>
      </c>
      <c r="H12" s="3">
        <v>23.378775633</v>
      </c>
      <c r="I12" s="52">
        <f t="shared" si="4"/>
        <v>-1.2439185417348272E-2</v>
      </c>
      <c r="J12" s="3">
        <v>125235.54</v>
      </c>
      <c r="K12" s="54">
        <f t="shared" si="5"/>
        <v>-3.4458718330651044E-3</v>
      </c>
      <c r="L12" s="3">
        <v>11.15</v>
      </c>
      <c r="M12" s="55">
        <f t="shared" si="0"/>
        <v>4.1957392677338667E-4</v>
      </c>
    </row>
    <row r="13" spans="1:23" x14ac:dyDescent="0.35">
      <c r="A13" s="9">
        <v>45629</v>
      </c>
      <c r="B13" s="3">
        <v>5.8798458497999997</v>
      </c>
      <c r="C13" s="29">
        <f t="shared" si="1"/>
        <v>0</v>
      </c>
      <c r="D13" s="3">
        <v>9.5560542855000001</v>
      </c>
      <c r="E13" s="48">
        <f t="shared" si="2"/>
        <v>9.3995470146997651E-3</v>
      </c>
      <c r="F13" s="3">
        <v>23.690177368000001</v>
      </c>
      <c r="G13" s="50">
        <f t="shared" si="3"/>
        <v>1.2136071297017586E-2</v>
      </c>
      <c r="H13" s="3">
        <v>23.511656772999999</v>
      </c>
      <c r="I13" s="52">
        <f t="shared" si="4"/>
        <v>5.6677445225765313E-3</v>
      </c>
      <c r="J13" s="3">
        <v>126139.2</v>
      </c>
      <c r="K13" s="54">
        <f t="shared" si="5"/>
        <v>7.1897748574711075E-3</v>
      </c>
      <c r="L13" s="3">
        <v>11.15</v>
      </c>
      <c r="M13" s="55">
        <f t="shared" si="0"/>
        <v>4.1957392677338667E-4</v>
      </c>
    </row>
    <row r="14" spans="1:23" x14ac:dyDescent="0.35">
      <c r="A14" s="9">
        <v>45630</v>
      </c>
      <c r="B14" s="3">
        <v>6.1202169065999996</v>
      </c>
      <c r="C14" s="29">
        <f t="shared" si="1"/>
        <v>4.0066992604593343E-2</v>
      </c>
      <c r="D14" s="3">
        <v>9.4368519451000008</v>
      </c>
      <c r="E14" s="48">
        <f t="shared" si="2"/>
        <v>-1.2552466075393797E-2</v>
      </c>
      <c r="F14" s="3">
        <v>23.975945491000001</v>
      </c>
      <c r="G14" s="50">
        <f t="shared" si="3"/>
        <v>1.1990551346350787E-2</v>
      </c>
      <c r="H14" s="3">
        <v>23.752503839999999</v>
      </c>
      <c r="I14" s="52">
        <f t="shared" si="4"/>
        <v>1.019161870586531E-2</v>
      </c>
      <c r="J14" s="3">
        <v>126087.02</v>
      </c>
      <c r="K14" s="54">
        <f t="shared" si="5"/>
        <v>-4.1375556232337078E-4</v>
      </c>
      <c r="L14" s="3">
        <v>11.15</v>
      </c>
      <c r="M14" s="55">
        <f t="shared" si="0"/>
        <v>4.1957392677338667E-4</v>
      </c>
    </row>
    <row r="15" spans="1:23" x14ac:dyDescent="0.35">
      <c r="A15" s="9">
        <v>45631</v>
      </c>
      <c r="B15" s="3">
        <v>6.1849321910999997</v>
      </c>
      <c r="C15" s="29">
        <f t="shared" si="1"/>
        <v>1.0518504189461668E-2</v>
      </c>
      <c r="D15" s="3">
        <v>9.5262537003999999</v>
      </c>
      <c r="E15" s="48">
        <f t="shared" si="2"/>
        <v>9.429090292067073E-3</v>
      </c>
      <c r="F15" s="3">
        <v>24.271239217000002</v>
      </c>
      <c r="G15" s="50">
        <f t="shared" si="3"/>
        <v>1.2241021525980516E-2</v>
      </c>
      <c r="H15" s="3">
        <v>24.200977688999998</v>
      </c>
      <c r="I15" s="52">
        <f t="shared" si="4"/>
        <v>1.8705082952521015E-2</v>
      </c>
      <c r="J15" s="3">
        <v>127857.58</v>
      </c>
      <c r="K15" s="54">
        <f t="shared" si="5"/>
        <v>1.3944684714545973E-2</v>
      </c>
      <c r="L15" s="3">
        <v>11.15</v>
      </c>
      <c r="M15" s="55">
        <f t="shared" si="0"/>
        <v>4.1957392677338667E-4</v>
      </c>
    </row>
    <row r="16" spans="1:23" x14ac:dyDescent="0.35">
      <c r="A16" s="9">
        <v>45632</v>
      </c>
      <c r="B16" s="3">
        <v>5.8058855246999999</v>
      </c>
      <c r="C16" s="29">
        <f t="shared" si="1"/>
        <v>-6.3243893656554029E-2</v>
      </c>
      <c r="D16" s="3">
        <v>9.3971178315999992</v>
      </c>
      <c r="E16" s="48">
        <f t="shared" si="2"/>
        <v>-1.3648505839771428E-2</v>
      </c>
      <c r="F16" s="3">
        <v>23.556818911000001</v>
      </c>
      <c r="G16" s="50">
        <f t="shared" si="3"/>
        <v>-2.9876749144197867E-2</v>
      </c>
      <c r="H16" s="3">
        <v>24.009961050000001</v>
      </c>
      <c r="I16" s="52">
        <f t="shared" si="4"/>
        <v>-7.9242447273553604E-3</v>
      </c>
      <c r="J16" s="3">
        <v>125945.67</v>
      </c>
      <c r="K16" s="54">
        <f t="shared" si="5"/>
        <v>-1.5066364722168353E-2</v>
      </c>
      <c r="L16" s="3">
        <v>11.15</v>
      </c>
      <c r="M16" s="55">
        <f t="shared" si="0"/>
        <v>4.1957392677338667E-4</v>
      </c>
    </row>
    <row r="17" spans="1:13" x14ac:dyDescent="0.35">
      <c r="A17" s="9">
        <v>45635</v>
      </c>
      <c r="B17" s="3">
        <v>5.9260710531000003</v>
      </c>
      <c r="C17" s="29">
        <f t="shared" si="1"/>
        <v>2.0489290456260113E-2</v>
      </c>
      <c r="D17" s="3">
        <v>9.3573837181999995</v>
      </c>
      <c r="E17" s="48">
        <f t="shared" si="2"/>
        <v>-4.2372944698667713E-3</v>
      </c>
      <c r="F17" s="3">
        <v>23.499665285999999</v>
      </c>
      <c r="G17" s="50">
        <f t="shared" si="3"/>
        <v>-2.4291510120029499E-3</v>
      </c>
      <c r="H17" s="3">
        <v>23.860469767000001</v>
      </c>
      <c r="I17" s="52">
        <f t="shared" si="4"/>
        <v>-6.2456830407242401E-3</v>
      </c>
      <c r="J17" s="3">
        <v>127210.19</v>
      </c>
      <c r="K17" s="54">
        <f t="shared" si="5"/>
        <v>9.9901342743327383E-3</v>
      </c>
      <c r="L17" s="3">
        <v>11.15</v>
      </c>
      <c r="M17" s="55">
        <f t="shared" si="0"/>
        <v>4.1957392677338667E-4</v>
      </c>
    </row>
    <row r="18" spans="1:13" x14ac:dyDescent="0.35">
      <c r="A18" s="9">
        <v>45636</v>
      </c>
      <c r="B18" s="3">
        <v>6.0092764188999999</v>
      </c>
      <c r="C18" s="29">
        <f t="shared" si="1"/>
        <v>1.3942905968986829E-2</v>
      </c>
      <c r="D18" s="3">
        <v>9.5262537003999999</v>
      </c>
      <c r="E18" s="48">
        <f t="shared" si="2"/>
        <v>1.788580030963826E-2</v>
      </c>
      <c r="F18" s="3">
        <v>23.652074952</v>
      </c>
      <c r="G18" s="50">
        <f t="shared" si="3"/>
        <v>6.4646690035916419E-3</v>
      </c>
      <c r="H18" s="3">
        <v>24.154793872999999</v>
      </c>
      <c r="I18" s="52">
        <f t="shared" si="4"/>
        <v>1.2259759506840282E-2</v>
      </c>
      <c r="J18" s="3">
        <v>128228.49</v>
      </c>
      <c r="K18" s="54">
        <f t="shared" si="5"/>
        <v>7.9729929259039628E-3</v>
      </c>
      <c r="L18" s="3">
        <v>11.15</v>
      </c>
      <c r="M18" s="55">
        <f t="shared" si="0"/>
        <v>4.1957392677338667E-4</v>
      </c>
    </row>
    <row r="19" spans="1:13" x14ac:dyDescent="0.35">
      <c r="A19" s="9">
        <v>45637</v>
      </c>
      <c r="B19" s="3">
        <v>6.1479520284999998</v>
      </c>
      <c r="C19" s="29">
        <f t="shared" si="1"/>
        <v>2.2814677755285822E-2</v>
      </c>
      <c r="D19" s="3">
        <v>9.5063866436000009</v>
      </c>
      <c r="E19" s="48">
        <f t="shared" si="2"/>
        <v>-2.0876834382060065E-3</v>
      </c>
      <c r="F19" s="3">
        <v>24.156931967999999</v>
      </c>
      <c r="G19" s="50">
        <f t="shared" si="3"/>
        <v>2.1120530020141134E-2</v>
      </c>
      <c r="H19" s="3">
        <v>24.557793562000001</v>
      </c>
      <c r="I19" s="52">
        <f t="shared" si="4"/>
        <v>1.6546396105195045E-2</v>
      </c>
      <c r="J19" s="3">
        <v>129593.31</v>
      </c>
      <c r="K19" s="54">
        <f t="shared" si="5"/>
        <v>1.0587411529247824E-2</v>
      </c>
      <c r="L19" s="3">
        <v>11.15</v>
      </c>
      <c r="M19" s="55">
        <f t="shared" si="0"/>
        <v>4.1957392677338667E-4</v>
      </c>
    </row>
    <row r="20" spans="1:13" x14ac:dyDescent="0.35">
      <c r="A20" s="9">
        <v>45638</v>
      </c>
      <c r="B20" s="3">
        <v>5.9445611343999998</v>
      </c>
      <c r="C20" s="29">
        <f t="shared" si="1"/>
        <v>-3.3642316405460101E-2</v>
      </c>
      <c r="D20" s="3">
        <v>9.0891784524000006</v>
      </c>
      <c r="E20" s="48">
        <f t="shared" si="2"/>
        <v>-4.4879326171362866E-2</v>
      </c>
      <c r="F20" s="3">
        <v>23.837018172000001</v>
      </c>
      <c r="G20" s="50">
        <f t="shared" si="3"/>
        <v>-1.3331619226918433E-2</v>
      </c>
      <c r="H20" s="3">
        <v>23.978481509000002</v>
      </c>
      <c r="I20" s="52">
        <f t="shared" si="4"/>
        <v>-2.3872436195745701E-2</v>
      </c>
      <c r="J20" s="3">
        <v>126042.21</v>
      </c>
      <c r="K20" s="54">
        <f t="shared" si="5"/>
        <v>-2.7784311363920081E-2</v>
      </c>
      <c r="L20" s="3">
        <v>12.15</v>
      </c>
      <c r="M20" s="55">
        <f t="shared" si="0"/>
        <v>4.5513161628885079E-4</v>
      </c>
    </row>
    <row r="21" spans="1:13" x14ac:dyDescent="0.35">
      <c r="A21" s="9">
        <v>45639</v>
      </c>
      <c r="B21" s="3">
        <v>5.7689053620999999</v>
      </c>
      <c r="C21" s="29">
        <f t="shared" si="1"/>
        <v>-2.9994355877708084E-2</v>
      </c>
      <c r="D21" s="3">
        <v>9.0494443389000008</v>
      </c>
      <c r="E21" s="48">
        <f t="shared" si="2"/>
        <v>-4.3811680207439434E-3</v>
      </c>
      <c r="F21" s="3">
        <v>23.510877882999999</v>
      </c>
      <c r="G21" s="50">
        <f t="shared" si="3"/>
        <v>-1.3776555008042417E-2</v>
      </c>
      <c r="H21" s="3">
        <v>23.684627569</v>
      </c>
      <c r="I21" s="52">
        <f t="shared" si="4"/>
        <v>-1.2330612454891681E-2</v>
      </c>
      <c r="J21" s="3">
        <v>124612.22</v>
      </c>
      <c r="K21" s="54">
        <f t="shared" si="5"/>
        <v>-1.1410175470802057E-2</v>
      </c>
      <c r="L21" s="3">
        <v>12.15</v>
      </c>
      <c r="M21" s="55">
        <f t="shared" si="0"/>
        <v>4.5513161628885079E-4</v>
      </c>
    </row>
    <row r="22" spans="1:13" x14ac:dyDescent="0.35">
      <c r="A22" s="9">
        <v>45642</v>
      </c>
      <c r="B22" s="3">
        <v>5.6764549556999997</v>
      </c>
      <c r="C22" s="29">
        <f t="shared" si="1"/>
        <v>-1.6155440214549711E-2</v>
      </c>
      <c r="D22" s="3">
        <v>8.9699761119999994</v>
      </c>
      <c r="E22" s="48">
        <f t="shared" si="2"/>
        <v>-8.8203438423244806E-3</v>
      </c>
      <c r="F22" s="3">
        <v>23.175145231999998</v>
      </c>
      <c r="G22" s="50">
        <f t="shared" si="3"/>
        <v>-1.4382824503265024E-2</v>
      </c>
      <c r="H22" s="3">
        <v>23.096919689</v>
      </c>
      <c r="I22" s="52">
        <f t="shared" si="4"/>
        <v>-2.5126950072050101E-2</v>
      </c>
      <c r="J22" s="3">
        <v>123560.06</v>
      </c>
      <c r="K22" s="54">
        <f t="shared" si="5"/>
        <v>-8.4793217363981974E-3</v>
      </c>
      <c r="L22" s="3">
        <v>12.15</v>
      </c>
      <c r="M22" s="55">
        <f t="shared" si="0"/>
        <v>4.5513161628885079E-4</v>
      </c>
    </row>
    <row r="23" spans="1:13" x14ac:dyDescent="0.35">
      <c r="A23" s="9">
        <v>45643</v>
      </c>
      <c r="B23" s="3">
        <v>5.7134351181999996</v>
      </c>
      <c r="C23" s="29">
        <f t="shared" si="1"/>
        <v>6.493529296922494E-3</v>
      </c>
      <c r="D23" s="3">
        <v>9.0494443389000008</v>
      </c>
      <c r="E23" s="48">
        <f t="shared" si="2"/>
        <v>8.8203438423244858E-3</v>
      </c>
      <c r="F23" s="3">
        <v>23.424546629999998</v>
      </c>
      <c r="G23" s="50">
        <f t="shared" si="3"/>
        <v>1.0704095643085205E-2</v>
      </c>
      <c r="H23" s="3">
        <v>23.390773629000002</v>
      </c>
      <c r="I23" s="52">
        <f t="shared" si="4"/>
        <v>1.2642393412456886E-2</v>
      </c>
      <c r="J23" s="3">
        <v>124698.04</v>
      </c>
      <c r="K23" s="54">
        <f t="shared" si="5"/>
        <v>9.1677811956255417E-3</v>
      </c>
      <c r="L23" s="3">
        <v>12.15</v>
      </c>
      <c r="M23" s="55">
        <f t="shared" si="0"/>
        <v>4.5513161628885079E-4</v>
      </c>
    </row>
    <row r="24" spans="1:13" x14ac:dyDescent="0.35">
      <c r="A24" s="9">
        <v>45644</v>
      </c>
      <c r="B24" s="3">
        <v>5.4083487769999996</v>
      </c>
      <c r="C24" s="29">
        <f t="shared" si="1"/>
        <v>-5.4876610214165913E-2</v>
      </c>
      <c r="D24" s="3">
        <v>8.7216379028999995</v>
      </c>
      <c r="E24" s="48">
        <f t="shared" si="2"/>
        <v>-3.689630362638989E-2</v>
      </c>
      <c r="F24" s="3">
        <v>22.772266051999999</v>
      </c>
      <c r="G24" s="50">
        <f t="shared" si="3"/>
        <v>-2.8241079512473448E-2</v>
      </c>
      <c r="H24" s="3">
        <v>22.769482441000001</v>
      </c>
      <c r="I24" s="52">
        <f t="shared" si="4"/>
        <v>-2.6920505298728446E-2</v>
      </c>
      <c r="J24" s="3">
        <v>120771.88</v>
      </c>
      <c r="K24" s="54">
        <f t="shared" si="5"/>
        <v>-3.1991657893979654E-2</v>
      </c>
      <c r="L24" s="3">
        <v>12.15</v>
      </c>
      <c r="M24" s="55">
        <f t="shared" si="0"/>
        <v>4.5513161628885079E-4</v>
      </c>
    </row>
    <row r="25" spans="1:13" x14ac:dyDescent="0.35">
      <c r="A25" s="9">
        <v>45645</v>
      </c>
      <c r="B25" s="3">
        <v>5.3621235737999999</v>
      </c>
      <c r="C25" s="29">
        <f t="shared" si="1"/>
        <v>-8.5837436872470852E-3</v>
      </c>
      <c r="D25" s="3">
        <v>8.8905078850999999</v>
      </c>
      <c r="E25" s="48">
        <f t="shared" si="2"/>
        <v>1.9177124642595657E-2</v>
      </c>
      <c r="F25" s="3">
        <v>22.916151473999999</v>
      </c>
      <c r="G25" s="50">
        <f t="shared" si="3"/>
        <v>6.2985721754599102E-3</v>
      </c>
      <c r="H25" s="3">
        <v>22.979378112999999</v>
      </c>
      <c r="I25" s="52">
        <f t="shared" si="4"/>
        <v>9.1760600034833419E-3</v>
      </c>
      <c r="J25" s="3">
        <v>121187.91</v>
      </c>
      <c r="K25" s="54">
        <f t="shared" si="5"/>
        <v>3.4388392384052395E-3</v>
      </c>
      <c r="L25" s="3">
        <v>12.15</v>
      </c>
      <c r="M25" s="55">
        <f t="shared" si="0"/>
        <v>4.5513161628885079E-4</v>
      </c>
    </row>
    <row r="26" spans="1:13" x14ac:dyDescent="0.35">
      <c r="A26" s="9">
        <v>45646</v>
      </c>
      <c r="B26" s="3">
        <v>5.2326930046999998</v>
      </c>
      <c r="C26" s="29">
        <f t="shared" si="1"/>
        <v>-2.4434025352043476E-2</v>
      </c>
      <c r="D26" s="3">
        <v>8.9302419985999997</v>
      </c>
      <c r="E26" s="48">
        <f t="shared" si="2"/>
        <v>4.4593162020322352E-3</v>
      </c>
      <c r="F26" s="3">
        <v>23.098406341</v>
      </c>
      <c r="G26" s="50">
        <f t="shared" si="3"/>
        <v>7.9216590894377551E-3</v>
      </c>
      <c r="H26" s="3">
        <v>23.122107169</v>
      </c>
      <c r="I26" s="52">
        <f t="shared" si="4"/>
        <v>6.1919702218644615E-3</v>
      </c>
      <c r="J26" s="3">
        <v>122102.15</v>
      </c>
      <c r="K26" s="54">
        <f t="shared" si="5"/>
        <v>7.5156732948817228E-3</v>
      </c>
      <c r="L26" s="3">
        <v>12.15</v>
      </c>
      <c r="M26" s="55">
        <f t="shared" si="0"/>
        <v>4.5513161628885079E-4</v>
      </c>
    </row>
    <row r="27" spans="1:13" x14ac:dyDescent="0.35">
      <c r="A27" s="9">
        <v>45649</v>
      </c>
      <c r="B27" s="3">
        <v>4.9923219479999998</v>
      </c>
      <c r="C27" s="29">
        <f t="shared" si="1"/>
        <v>-4.7024938634245811E-2</v>
      </c>
      <c r="D27" s="3">
        <v>8.7117043746</v>
      </c>
      <c r="E27" s="48">
        <f t="shared" si="2"/>
        <v>-2.4776042100305432E-2</v>
      </c>
      <c r="F27" s="3">
        <v>22.944928558000001</v>
      </c>
      <c r="G27" s="50">
        <f t="shared" si="3"/>
        <v>-6.6666913583340809E-3</v>
      </c>
      <c r="H27" s="3">
        <v>22.719107480000002</v>
      </c>
      <c r="I27" s="52">
        <f t="shared" si="4"/>
        <v>-1.7582870548181286E-2</v>
      </c>
      <c r="J27" s="3">
        <v>120766.57</v>
      </c>
      <c r="K27" s="54">
        <f t="shared" si="5"/>
        <v>-1.09984806882607E-2</v>
      </c>
      <c r="L27" s="3">
        <v>12.15</v>
      </c>
      <c r="M27" s="55">
        <f t="shared" si="0"/>
        <v>4.5513161628885079E-4</v>
      </c>
    </row>
    <row r="28" spans="1:13" x14ac:dyDescent="0.35">
      <c r="A28" s="9">
        <v>45652</v>
      </c>
      <c r="B28" s="3">
        <v>5.1032624356999996</v>
      </c>
      <c r="C28" s="29">
        <f t="shared" si="1"/>
        <v>2.1978906712243434E-2</v>
      </c>
      <c r="D28" s="3">
        <v>8.6223026192999992</v>
      </c>
      <c r="E28" s="48">
        <f t="shared" si="2"/>
        <v>-1.0315277715363905E-2</v>
      </c>
      <c r="F28" s="3">
        <v>23.213514677999999</v>
      </c>
      <c r="G28" s="50">
        <f t="shared" si="3"/>
        <v>1.1637704069692124E-2</v>
      </c>
      <c r="H28" s="3">
        <v>22.836649055999999</v>
      </c>
      <c r="I28" s="52">
        <f t="shared" si="4"/>
        <v>5.1603505582738024E-3</v>
      </c>
      <c r="J28" s="3">
        <v>121077.5</v>
      </c>
      <c r="K28" s="54">
        <f t="shared" si="5"/>
        <v>2.5713276435953137E-3</v>
      </c>
      <c r="L28" s="3">
        <v>12.15</v>
      </c>
      <c r="M28" s="55">
        <f t="shared" si="0"/>
        <v>4.5513161628885079E-4</v>
      </c>
    </row>
    <row r="29" spans="1:13" x14ac:dyDescent="0.35">
      <c r="A29" s="9">
        <v>45653</v>
      </c>
      <c r="B29" s="3">
        <v>5.1957128421999998</v>
      </c>
      <c r="C29" s="29">
        <f t="shared" si="1"/>
        <v>1.7953803627404563E-2</v>
      </c>
      <c r="D29" s="3">
        <v>8.642169676</v>
      </c>
      <c r="E29" s="48">
        <f t="shared" si="2"/>
        <v>2.3014969852131347E-3</v>
      </c>
      <c r="F29" s="3">
        <v>23.127183424999998</v>
      </c>
      <c r="G29" s="50">
        <f t="shared" si="3"/>
        <v>-3.7259409723841689E-3</v>
      </c>
      <c r="H29" s="3">
        <v>22.626753385000001</v>
      </c>
      <c r="I29" s="52">
        <f t="shared" si="4"/>
        <v>-9.2336759261475443E-3</v>
      </c>
      <c r="J29" s="3">
        <v>120269.31</v>
      </c>
      <c r="K29" s="54">
        <f t="shared" si="5"/>
        <v>-6.6973582200498E-3</v>
      </c>
      <c r="L29" s="3">
        <v>12.15</v>
      </c>
      <c r="M29" s="55">
        <f t="shared" si="0"/>
        <v>4.5513161628885079E-4</v>
      </c>
    </row>
    <row r="30" spans="1:13" x14ac:dyDescent="0.35">
      <c r="A30" s="9">
        <v>45656</v>
      </c>
      <c r="B30" s="3">
        <v>5.2049578827999996</v>
      </c>
      <c r="C30" s="29">
        <f t="shared" si="1"/>
        <v>1.7777782374527467E-3</v>
      </c>
      <c r="D30" s="3">
        <v>8.7117043746</v>
      </c>
      <c r="E30" s="48">
        <f t="shared" si="2"/>
        <v>8.0137807301505527E-3</v>
      </c>
      <c r="F30" s="3">
        <v>23.184737594000001</v>
      </c>
      <c r="G30" s="50">
        <f t="shared" si="3"/>
        <v>2.4855025385736311E-3</v>
      </c>
      <c r="H30" s="3">
        <v>22.584774249999999</v>
      </c>
      <c r="I30" s="52">
        <f t="shared" si="4"/>
        <v>-1.8570107784289843E-3</v>
      </c>
      <c r="J30" s="3">
        <v>120283.4</v>
      </c>
      <c r="K30" s="54">
        <f t="shared" si="5"/>
        <v>1.1714688241184035E-4</v>
      </c>
      <c r="L30" s="3">
        <v>12.15</v>
      </c>
      <c r="M30" s="55">
        <f t="shared" si="0"/>
        <v>4.5513161628885079E-4</v>
      </c>
    </row>
    <row r="31" spans="1:13" x14ac:dyDescent="0.35">
      <c r="A31" s="9">
        <v>45659</v>
      </c>
      <c r="B31" s="3">
        <v>5.3898586957000001</v>
      </c>
      <c r="C31" s="29">
        <f t="shared" si="1"/>
        <v>3.4907558213010129E-2</v>
      </c>
      <c r="D31" s="3">
        <v>8.5428343923999996</v>
      </c>
      <c r="E31" s="48">
        <f t="shared" si="2"/>
        <v>-1.9574603127459379E-2</v>
      </c>
      <c r="F31" s="3">
        <v>22.944928558000001</v>
      </c>
      <c r="G31" s="50">
        <f t="shared" si="3"/>
        <v>-1.0397265635881848E-2</v>
      </c>
      <c r="H31" s="3">
        <v>22.565997256999999</v>
      </c>
      <c r="I31" s="52">
        <f t="shared" si="4"/>
        <v>-8.3174632263308286E-4</v>
      </c>
      <c r="J31" s="3">
        <v>120125.39</v>
      </c>
      <c r="K31" s="54">
        <f t="shared" si="5"/>
        <v>-1.314511193643422E-3</v>
      </c>
      <c r="L31" s="3">
        <v>12.15</v>
      </c>
      <c r="M31" s="55">
        <f t="shared" si="0"/>
        <v>4.5513161628885079E-4</v>
      </c>
    </row>
    <row r="32" spans="1:13" x14ac:dyDescent="0.35">
      <c r="A32" s="9">
        <v>45660</v>
      </c>
      <c r="B32" s="3">
        <v>5.2419380454000004</v>
      </c>
      <c r="C32" s="29">
        <f t="shared" si="1"/>
        <v>-2.7827882620678816E-2</v>
      </c>
      <c r="D32" s="3">
        <v>8.3640308818999998</v>
      </c>
      <c r="E32" s="48">
        <f t="shared" si="2"/>
        <v>-2.1152375000611137E-2</v>
      </c>
      <c r="F32" s="3">
        <v>22.772266051999999</v>
      </c>
      <c r="G32" s="50">
        <f t="shared" si="3"/>
        <v>-7.5535399065634534E-3</v>
      </c>
      <c r="H32" s="3">
        <v>22.171134312</v>
      </c>
      <c r="I32" s="52">
        <f t="shared" si="4"/>
        <v>-1.765304056627396E-2</v>
      </c>
      <c r="J32" s="3">
        <v>118532.68</v>
      </c>
      <c r="K32" s="54">
        <f t="shared" si="5"/>
        <v>-1.3347410757866425E-2</v>
      </c>
      <c r="L32" s="3">
        <v>12.15</v>
      </c>
      <c r="M32" s="55">
        <f t="shared" si="0"/>
        <v>4.5513161628885079E-4</v>
      </c>
    </row>
    <row r="33" spans="1:13" x14ac:dyDescent="0.35">
      <c r="A33" s="9">
        <v>45663</v>
      </c>
      <c r="B33" s="3">
        <v>5.2049578827999996</v>
      </c>
      <c r="C33" s="29">
        <f t="shared" si="1"/>
        <v>-7.079675592331307E-3</v>
      </c>
      <c r="D33" s="3">
        <v>8.3739644101999993</v>
      </c>
      <c r="E33" s="48">
        <f t="shared" si="2"/>
        <v>1.1869437519694318E-3</v>
      </c>
      <c r="F33" s="3">
        <v>22.983298004000002</v>
      </c>
      <c r="G33" s="50">
        <f t="shared" si="3"/>
        <v>9.22438408229493E-3</v>
      </c>
      <c r="H33" s="3">
        <v>23.238104398000001</v>
      </c>
      <c r="I33" s="52">
        <f t="shared" si="4"/>
        <v>4.7002175710454126E-2</v>
      </c>
      <c r="J33" s="3">
        <v>120021.52</v>
      </c>
      <c r="K33" s="54">
        <f t="shared" si="5"/>
        <v>1.2482356891653315E-2</v>
      </c>
      <c r="L33" s="3">
        <v>12.15</v>
      </c>
      <c r="M33" s="55">
        <f t="shared" si="0"/>
        <v>4.5513161628885079E-4</v>
      </c>
    </row>
    <row r="34" spans="1:13" x14ac:dyDescent="0.35">
      <c r="A34" s="9">
        <v>45664</v>
      </c>
      <c r="B34" s="3">
        <v>5.3621235737999999</v>
      </c>
      <c r="C34" s="29">
        <f t="shared" si="1"/>
        <v>2.9748475409188378E-2</v>
      </c>
      <c r="D34" s="3">
        <v>8.3044297116999992</v>
      </c>
      <c r="E34" s="48">
        <f t="shared" si="2"/>
        <v>-8.3383449120257372E-3</v>
      </c>
      <c r="F34" s="3">
        <v>23.261476484999999</v>
      </c>
      <c r="G34" s="50">
        <f t="shared" si="3"/>
        <v>1.2030844106818305E-2</v>
      </c>
      <c r="H34" s="3">
        <v>23.313716452000001</v>
      </c>
      <c r="I34" s="52">
        <f t="shared" si="4"/>
        <v>3.2485139834654377E-3</v>
      </c>
      <c r="J34" s="3">
        <v>121162.66</v>
      </c>
      <c r="K34" s="54">
        <f t="shared" si="5"/>
        <v>9.4628803213714502E-3</v>
      </c>
      <c r="L34" s="3">
        <v>12.15</v>
      </c>
      <c r="M34" s="55">
        <f t="shared" si="0"/>
        <v>4.5513161628885079E-4</v>
      </c>
    </row>
    <row r="35" spans="1:13" x14ac:dyDescent="0.35">
      <c r="A35" s="9">
        <v>45665</v>
      </c>
      <c r="B35" s="3">
        <v>5.1402425983000004</v>
      </c>
      <c r="C35" s="29">
        <f t="shared" si="1"/>
        <v>-4.2259809296188493E-2</v>
      </c>
      <c r="D35" s="3">
        <v>8.0858920876999996</v>
      </c>
      <c r="E35" s="48">
        <f t="shared" si="2"/>
        <v>-2.6668247083137673E-2</v>
      </c>
      <c r="F35" s="3">
        <v>23.175145231999998</v>
      </c>
      <c r="G35" s="50">
        <f t="shared" si="3"/>
        <v>-3.7182443197249777E-3</v>
      </c>
      <c r="H35" s="3">
        <v>23.036472256</v>
      </c>
      <c r="I35" s="52">
        <f t="shared" si="4"/>
        <v>-1.1963166073667946E-2</v>
      </c>
      <c r="J35" s="3">
        <v>119624.51</v>
      </c>
      <c r="K35" s="54">
        <f t="shared" si="5"/>
        <v>-1.2776186727473002E-2</v>
      </c>
      <c r="L35" s="3">
        <v>12.15</v>
      </c>
      <c r="M35" s="55">
        <f t="shared" si="0"/>
        <v>4.5513161628885079E-4</v>
      </c>
    </row>
    <row r="36" spans="1:13" x14ac:dyDescent="0.35">
      <c r="A36" s="9">
        <v>45666</v>
      </c>
      <c r="B36" s="3">
        <v>5.2696731672999997</v>
      </c>
      <c r="C36" s="29">
        <f t="shared" si="1"/>
        <v>2.4868066573849348E-2</v>
      </c>
      <c r="D36" s="3">
        <v>7.9468226906000003</v>
      </c>
      <c r="E36" s="48">
        <f t="shared" si="2"/>
        <v>-1.7348638336406187E-2</v>
      </c>
      <c r="F36" s="3">
        <v>23.280661208000001</v>
      </c>
      <c r="G36" s="50">
        <f t="shared" si="3"/>
        <v>4.5426466801454955E-3</v>
      </c>
      <c r="H36" s="3">
        <v>22.994465559999998</v>
      </c>
      <c r="I36" s="52">
        <f t="shared" si="4"/>
        <v>-1.8251510681312176E-3</v>
      </c>
      <c r="J36" s="3">
        <v>119780.56</v>
      </c>
      <c r="K36" s="54">
        <f t="shared" si="5"/>
        <v>1.3036484323457511E-3</v>
      </c>
      <c r="L36" s="3">
        <v>12.15</v>
      </c>
      <c r="M36" s="55">
        <f t="shared" si="0"/>
        <v>4.5513161628885079E-4</v>
      </c>
    </row>
    <row r="37" spans="1:13" x14ac:dyDescent="0.35">
      <c r="A37" s="9">
        <v>45667</v>
      </c>
      <c r="B37" s="3">
        <v>5.1309975576999998</v>
      </c>
      <c r="C37" s="29">
        <f t="shared" si="1"/>
        <v>-2.6668247069339304E-2</v>
      </c>
      <c r="D37" s="3">
        <v>7.8276203502000001</v>
      </c>
      <c r="E37" s="48">
        <f t="shared" si="2"/>
        <v>-1.5113637815286071E-2</v>
      </c>
      <c r="F37" s="3">
        <v>23.223107039999999</v>
      </c>
      <c r="G37" s="50">
        <f t="shared" si="3"/>
        <v>-2.4752487617166296E-3</v>
      </c>
      <c r="H37" s="3">
        <v>22.784432077999998</v>
      </c>
      <c r="I37" s="52">
        <f t="shared" si="4"/>
        <v>-9.176060000180869E-3</v>
      </c>
      <c r="J37" s="3">
        <v>118856.48</v>
      </c>
      <c r="K37" s="54">
        <f t="shared" si="5"/>
        <v>-7.7446872360564297E-3</v>
      </c>
      <c r="L37" s="3">
        <v>12.15</v>
      </c>
      <c r="M37" s="55">
        <f t="shared" si="0"/>
        <v>4.5513161628885079E-4</v>
      </c>
    </row>
    <row r="38" spans="1:13" x14ac:dyDescent="0.35">
      <c r="A38" s="9">
        <v>45670</v>
      </c>
      <c r="B38" s="3">
        <v>5.1125074764000003</v>
      </c>
      <c r="C38" s="29">
        <f t="shared" si="1"/>
        <v>-3.6101122262494857E-3</v>
      </c>
      <c r="D38" s="3">
        <v>7.7183515382000003</v>
      </c>
      <c r="E38" s="48">
        <f t="shared" si="2"/>
        <v>-1.4057739490856484E-2</v>
      </c>
      <c r="F38" s="3">
        <v>23.223107039999999</v>
      </c>
      <c r="G38" s="50">
        <f t="shared" si="3"/>
        <v>0</v>
      </c>
      <c r="H38" s="3">
        <v>22.927254846</v>
      </c>
      <c r="I38" s="52">
        <f t="shared" si="4"/>
        <v>6.248871672015468E-3</v>
      </c>
      <c r="J38" s="3">
        <v>119006.93</v>
      </c>
      <c r="K38" s="54">
        <f t="shared" si="5"/>
        <v>1.2650118827707624E-3</v>
      </c>
      <c r="L38" s="3">
        <v>12.15</v>
      </c>
      <c r="M38" s="55">
        <f t="shared" si="0"/>
        <v>4.5513161628885079E-4</v>
      </c>
    </row>
    <row r="39" spans="1:13" x14ac:dyDescent="0.35">
      <c r="A39" s="9">
        <v>45671</v>
      </c>
      <c r="B39" s="3">
        <v>5.3251434112</v>
      </c>
      <c r="C39" s="29">
        <f t="shared" si="1"/>
        <v>4.07496591692098E-2</v>
      </c>
      <c r="D39" s="3">
        <v>7.7481521232999997</v>
      </c>
      <c r="E39" s="48">
        <f t="shared" si="2"/>
        <v>3.8535693173352534E-3</v>
      </c>
      <c r="F39" s="3">
        <v>23.645170943</v>
      </c>
      <c r="G39" s="50">
        <f t="shared" si="3"/>
        <v>1.8011129528303218E-2</v>
      </c>
      <c r="H39" s="3">
        <v>22.986064219999999</v>
      </c>
      <c r="I39" s="52">
        <f t="shared" si="4"/>
        <v>2.5617579978195297E-3</v>
      </c>
      <c r="J39" s="3">
        <v>119298.67</v>
      </c>
      <c r="K39" s="54">
        <f t="shared" si="5"/>
        <v>2.4484539662237119E-3</v>
      </c>
      <c r="L39" s="3">
        <v>12.15</v>
      </c>
      <c r="M39" s="55">
        <f t="shared" si="0"/>
        <v>4.5513161628885079E-4</v>
      </c>
    </row>
    <row r="40" spans="1:13" x14ac:dyDescent="0.35">
      <c r="A40" s="9">
        <v>45672</v>
      </c>
      <c r="B40" s="3">
        <v>5.7226801589000003</v>
      </c>
      <c r="C40" s="29">
        <f t="shared" si="1"/>
        <v>7.1997611986763368E-2</v>
      </c>
      <c r="D40" s="3">
        <v>7.8772879921000003</v>
      </c>
      <c r="E40" s="48">
        <f t="shared" si="2"/>
        <v>1.6529301961154902E-2</v>
      </c>
      <c r="F40" s="3">
        <v>24.239897352</v>
      </c>
      <c r="G40" s="50">
        <f t="shared" si="3"/>
        <v>2.4841020906700966E-2</v>
      </c>
      <c r="H40" s="3">
        <v>23.851402164</v>
      </c>
      <c r="I40" s="52">
        <f t="shared" si="4"/>
        <v>3.6954877732430287E-2</v>
      </c>
      <c r="J40" s="3">
        <v>122650.2</v>
      </c>
      <c r="K40" s="54">
        <f t="shared" si="5"/>
        <v>2.7706220683246328E-2</v>
      </c>
      <c r="L40" s="3">
        <v>12.15</v>
      </c>
      <c r="M40" s="55">
        <f t="shared" si="0"/>
        <v>4.5513161628885079E-4</v>
      </c>
    </row>
    <row r="41" spans="1:13" x14ac:dyDescent="0.35">
      <c r="A41" s="9">
        <v>45673</v>
      </c>
      <c r="B41" s="3">
        <v>5.4915541428000001</v>
      </c>
      <c r="C41" s="29">
        <f t="shared" si="1"/>
        <v>-4.1225953320009626E-2</v>
      </c>
      <c r="D41" s="3">
        <v>7.7084180098999999</v>
      </c>
      <c r="E41" s="48">
        <f t="shared" si="2"/>
        <v>-2.1670701454721147E-2</v>
      </c>
      <c r="F41" s="3">
        <v>24.345413327999999</v>
      </c>
      <c r="G41" s="50">
        <f t="shared" si="3"/>
        <v>4.3435408939408856E-3</v>
      </c>
      <c r="H41" s="3">
        <v>23.666572701</v>
      </c>
      <c r="I41" s="52">
        <f t="shared" si="4"/>
        <v>-7.7793885645846168E-3</v>
      </c>
      <c r="J41" s="3">
        <v>121234.14</v>
      </c>
      <c r="K41" s="54">
        <f t="shared" si="5"/>
        <v>-1.1612684221232138E-2</v>
      </c>
      <c r="L41" s="3">
        <v>12.15</v>
      </c>
      <c r="M41" s="55">
        <f t="shared" si="0"/>
        <v>4.5513161628885079E-4</v>
      </c>
    </row>
    <row r="42" spans="1:13" x14ac:dyDescent="0.35">
      <c r="A42" s="9">
        <v>45674</v>
      </c>
      <c r="B42" s="3">
        <v>5.5100442240999996</v>
      </c>
      <c r="C42" s="29">
        <f t="shared" si="1"/>
        <v>3.361347704721187E-3</v>
      </c>
      <c r="D42" s="3">
        <v>7.7282850665999998</v>
      </c>
      <c r="E42" s="48">
        <f t="shared" si="2"/>
        <v>2.5740039917377844E-3</v>
      </c>
      <c r="F42" s="3">
        <v>24.316636243000001</v>
      </c>
      <c r="G42" s="50">
        <f t="shared" si="3"/>
        <v>-1.1827322773404379E-3</v>
      </c>
      <c r="H42" s="3">
        <v>23.792592789</v>
      </c>
      <c r="I42" s="52">
        <f t="shared" si="4"/>
        <v>5.310686898162195E-3</v>
      </c>
      <c r="J42" s="3">
        <v>122350.38</v>
      </c>
      <c r="K42" s="54">
        <f t="shared" si="5"/>
        <v>9.1651785894721893E-3</v>
      </c>
      <c r="L42" s="3">
        <v>12.15</v>
      </c>
      <c r="M42" s="55">
        <f t="shared" si="0"/>
        <v>4.5513161628885079E-4</v>
      </c>
    </row>
    <row r="43" spans="1:13" x14ac:dyDescent="0.35">
      <c r="A43" s="9">
        <v>45677</v>
      </c>
      <c r="B43" s="3">
        <v>5.4823091021000003</v>
      </c>
      <c r="C43" s="29">
        <f t="shared" si="1"/>
        <v>-5.0462680797743152E-3</v>
      </c>
      <c r="D43" s="3">
        <v>7.7183515382000003</v>
      </c>
      <c r="E43" s="48">
        <f t="shared" si="2"/>
        <v>-1.28617381550688E-3</v>
      </c>
      <c r="F43" s="3">
        <v>24.393375134999999</v>
      </c>
      <c r="G43" s="50">
        <f t="shared" si="3"/>
        <v>3.1508494174708364E-3</v>
      </c>
      <c r="H43" s="3">
        <v>24.011027609999999</v>
      </c>
      <c r="I43" s="52">
        <f t="shared" si="4"/>
        <v>9.1389036844081659E-3</v>
      </c>
      <c r="J43" s="3">
        <v>122855.15</v>
      </c>
      <c r="K43" s="54">
        <f t="shared" si="5"/>
        <v>4.1171234026987176E-3</v>
      </c>
      <c r="L43" s="3">
        <v>12.15</v>
      </c>
      <c r="M43" s="55">
        <f t="shared" si="0"/>
        <v>4.5513161628885079E-4</v>
      </c>
    </row>
    <row r="44" spans="1:13" x14ac:dyDescent="0.35">
      <c r="A44" s="9">
        <v>45678</v>
      </c>
      <c r="B44" s="3">
        <v>5.7134351181999996</v>
      </c>
      <c r="C44" s="29">
        <f t="shared" si="1"/>
        <v>4.1294058458430351E-2</v>
      </c>
      <c r="D44" s="3">
        <v>7.7382185950000002</v>
      </c>
      <c r="E44" s="48">
        <f t="shared" si="2"/>
        <v>2.5706955126141087E-3</v>
      </c>
      <c r="F44" s="3">
        <v>24.613999448000001</v>
      </c>
      <c r="G44" s="50">
        <f t="shared" si="3"/>
        <v>9.0037797511297452E-3</v>
      </c>
      <c r="H44" s="3">
        <v>24.019428949999998</v>
      </c>
      <c r="I44" s="52">
        <f t="shared" si="4"/>
        <v>3.4983386323581738E-4</v>
      </c>
      <c r="J44" s="3">
        <v>123338.34</v>
      </c>
      <c r="K44" s="54">
        <f t="shared" si="5"/>
        <v>3.9252916103700054E-3</v>
      </c>
      <c r="L44" s="3">
        <v>12.15</v>
      </c>
      <c r="M44" s="55">
        <f t="shared" si="0"/>
        <v>4.5513161628885079E-4</v>
      </c>
    </row>
    <row r="45" spans="1:13" x14ac:dyDescent="0.35">
      <c r="A45" s="9">
        <v>45679</v>
      </c>
      <c r="B45" s="3">
        <v>5.8890908905000003</v>
      </c>
      <c r="C45" s="29">
        <f t="shared" si="1"/>
        <v>3.0281198124254356E-2</v>
      </c>
      <c r="D45" s="3">
        <v>7.8176868218999997</v>
      </c>
      <c r="E45" s="48">
        <f t="shared" si="2"/>
        <v>1.0217202545850273E-2</v>
      </c>
      <c r="F45" s="3">
        <v>25.064840436000001</v>
      </c>
      <c r="G45" s="50">
        <f t="shared" si="3"/>
        <v>1.8150720362942088E-2</v>
      </c>
      <c r="H45" s="3">
        <v>23.893408861000001</v>
      </c>
      <c r="I45" s="52">
        <f t="shared" si="4"/>
        <v>-5.2604014021225953E-3</v>
      </c>
      <c r="J45" s="3">
        <v>122971.77</v>
      </c>
      <c r="K45" s="54">
        <f t="shared" si="5"/>
        <v>-2.9764939054756426E-3</v>
      </c>
      <c r="L45" s="3">
        <v>12.15</v>
      </c>
      <c r="M45" s="55">
        <f t="shared" si="0"/>
        <v>4.5513161628885079E-4</v>
      </c>
    </row>
    <row r="46" spans="1:13" x14ac:dyDescent="0.35">
      <c r="A46" s="9">
        <v>45680</v>
      </c>
      <c r="B46" s="3">
        <v>5.8983359311000001</v>
      </c>
      <c r="C46" s="29">
        <f t="shared" si="1"/>
        <v>1.5686277650942928E-3</v>
      </c>
      <c r="D46" s="3">
        <v>7.6289497830000004</v>
      </c>
      <c r="E46" s="48">
        <f t="shared" si="2"/>
        <v>-2.4438515269431121E-2</v>
      </c>
      <c r="F46" s="3">
        <v>25.630789759999999</v>
      </c>
      <c r="G46" s="50">
        <f t="shared" si="3"/>
        <v>2.232826910438885E-2</v>
      </c>
      <c r="H46" s="3">
        <v>23.859803503999998</v>
      </c>
      <c r="I46" s="52">
        <f t="shared" si="4"/>
        <v>-1.4074597658757218E-3</v>
      </c>
      <c r="J46" s="3">
        <v>122483.32</v>
      </c>
      <c r="K46" s="54">
        <f t="shared" si="5"/>
        <v>-3.9799593869245236E-3</v>
      </c>
      <c r="L46" s="3">
        <v>12.15</v>
      </c>
      <c r="M46" s="55">
        <f t="shared" si="0"/>
        <v>4.5513161628885079E-4</v>
      </c>
    </row>
    <row r="47" spans="1:13" x14ac:dyDescent="0.35">
      <c r="A47" s="9">
        <v>45681</v>
      </c>
      <c r="B47" s="3">
        <v>5.8151305652999996</v>
      </c>
      <c r="C47" s="29">
        <f t="shared" si="1"/>
        <v>-1.420702664448417E-2</v>
      </c>
      <c r="D47" s="3">
        <v>7.5494815560999999</v>
      </c>
      <c r="E47" s="48">
        <f t="shared" si="2"/>
        <v>-1.0471299866467621E-2</v>
      </c>
      <c r="F47" s="3">
        <v>25.534866145999999</v>
      </c>
      <c r="G47" s="50">
        <f t="shared" si="3"/>
        <v>-3.7495356869402035E-3</v>
      </c>
      <c r="H47" s="3">
        <v>23.927014218</v>
      </c>
      <c r="I47" s="52">
        <f t="shared" si="4"/>
        <v>2.8129413726120322E-3</v>
      </c>
      <c r="J47" s="3">
        <v>122446.94</v>
      </c>
      <c r="K47" s="54">
        <f t="shared" si="5"/>
        <v>-2.9706415424162358E-4</v>
      </c>
      <c r="L47" s="3">
        <v>12.15</v>
      </c>
      <c r="M47" s="55">
        <f t="shared" si="0"/>
        <v>4.5513161628885079E-4</v>
      </c>
    </row>
    <row r="48" spans="1:13" x14ac:dyDescent="0.35">
      <c r="A48" s="9">
        <v>45684</v>
      </c>
      <c r="B48" s="3">
        <v>5.7966404840000001</v>
      </c>
      <c r="C48" s="29">
        <f t="shared" si="1"/>
        <v>-3.18471606946703E-3</v>
      </c>
      <c r="D48" s="3">
        <v>7.9170221055000001</v>
      </c>
      <c r="E48" s="48">
        <f t="shared" si="2"/>
        <v>4.7536245504569731E-2</v>
      </c>
      <c r="F48" s="3">
        <v>26.580433543000002</v>
      </c>
      <c r="G48" s="50">
        <f t="shared" si="3"/>
        <v>4.013054592064106E-2</v>
      </c>
      <c r="H48" s="3">
        <v>24.531910645</v>
      </c>
      <c r="I48" s="52">
        <f t="shared" si="4"/>
        <v>2.4966622736186175E-2</v>
      </c>
      <c r="J48" s="3">
        <v>124861.5</v>
      </c>
      <c r="K48" s="54">
        <f t="shared" si="5"/>
        <v>1.9527329722331781E-2</v>
      </c>
      <c r="L48" s="3">
        <v>12.15</v>
      </c>
      <c r="M48" s="55">
        <f t="shared" si="0"/>
        <v>4.5513161628885079E-4</v>
      </c>
    </row>
    <row r="49" spans="1:13" x14ac:dyDescent="0.35">
      <c r="A49" s="9">
        <v>45685</v>
      </c>
      <c r="B49" s="3">
        <v>5.7504152808000004</v>
      </c>
      <c r="C49" s="29">
        <f t="shared" si="1"/>
        <v>-8.0064478899691694E-3</v>
      </c>
      <c r="D49" s="3">
        <v>7.7481521232999997</v>
      </c>
      <c r="E49" s="48">
        <f t="shared" si="2"/>
        <v>-2.1560759109800171E-2</v>
      </c>
      <c r="F49" s="3">
        <v>26.407771037</v>
      </c>
      <c r="G49" s="50">
        <f t="shared" si="3"/>
        <v>-6.5170397251815004E-3</v>
      </c>
      <c r="H49" s="3">
        <v>24.531910645</v>
      </c>
      <c r="I49" s="52">
        <f t="shared" si="4"/>
        <v>0</v>
      </c>
      <c r="J49" s="3">
        <v>124055.5</v>
      </c>
      <c r="K49" s="54">
        <f t="shared" si="5"/>
        <v>-6.4760769006479346E-3</v>
      </c>
      <c r="L49" s="3">
        <v>12.15</v>
      </c>
      <c r="M49" s="55">
        <f t="shared" si="0"/>
        <v>4.5513161628885079E-4</v>
      </c>
    </row>
    <row r="50" spans="1:13" x14ac:dyDescent="0.35">
      <c r="A50" s="9">
        <v>45686</v>
      </c>
      <c r="B50" s="3">
        <v>5.7134351181999996</v>
      </c>
      <c r="C50" s="29">
        <f t="shared" si="1"/>
        <v>-6.4516352854282564E-3</v>
      </c>
      <c r="D50" s="3">
        <v>7.7282850665999998</v>
      </c>
      <c r="E50" s="48">
        <f t="shared" si="2"/>
        <v>-2.5673955018284404E-3</v>
      </c>
      <c r="F50" s="3">
        <v>26.321439783999999</v>
      </c>
      <c r="G50" s="50">
        <f t="shared" si="3"/>
        <v>-3.2745162992603061E-3</v>
      </c>
      <c r="H50" s="3">
        <v>24.573917341000001</v>
      </c>
      <c r="I50" s="52">
        <f t="shared" si="4"/>
        <v>1.7108643910173117E-3</v>
      </c>
      <c r="J50" s="3">
        <v>123432.12</v>
      </c>
      <c r="K50" s="54">
        <f t="shared" si="5"/>
        <v>-5.0376767803899701E-3</v>
      </c>
      <c r="L50" s="3">
        <v>12.15</v>
      </c>
      <c r="M50" s="55">
        <f t="shared" si="0"/>
        <v>4.5513161628885079E-4</v>
      </c>
    </row>
    <row r="51" spans="1:13" x14ac:dyDescent="0.35">
      <c r="A51" s="9">
        <v>45687</v>
      </c>
      <c r="B51" s="3">
        <v>5.8058855246999999</v>
      </c>
      <c r="C51" s="29">
        <f t="shared" si="1"/>
        <v>1.6051709020262497E-2</v>
      </c>
      <c r="D51" s="3">
        <v>8.0660250310000006</v>
      </c>
      <c r="E51" s="48">
        <f t="shared" si="2"/>
        <v>4.2773815989469305E-2</v>
      </c>
      <c r="F51" s="3">
        <v>26.513287012999999</v>
      </c>
      <c r="G51" s="50">
        <f t="shared" si="3"/>
        <v>7.2621960513514806E-3</v>
      </c>
      <c r="H51" s="3">
        <v>25.027589661</v>
      </c>
      <c r="I51" s="52">
        <f t="shared" si="4"/>
        <v>1.8293193041670052E-2</v>
      </c>
      <c r="J51" s="3">
        <v>126912.78</v>
      </c>
      <c r="K51" s="54">
        <f t="shared" si="5"/>
        <v>2.7808709533898048E-2</v>
      </c>
      <c r="L51" s="3">
        <v>13.15</v>
      </c>
      <c r="M51" s="55">
        <f t="shared" si="0"/>
        <v>4.9037490119197003E-4</v>
      </c>
    </row>
    <row r="52" spans="1:13" x14ac:dyDescent="0.35">
      <c r="A52" s="9">
        <v>45688</v>
      </c>
      <c r="B52" s="3">
        <v>5.8983359311000001</v>
      </c>
      <c r="C52" s="29">
        <f t="shared" si="1"/>
        <v>1.5798116869086248E-2</v>
      </c>
      <c r="D52" s="3">
        <v>8.0560915025999993</v>
      </c>
      <c r="E52" s="48">
        <f t="shared" si="2"/>
        <v>-1.2322860508206935E-3</v>
      </c>
      <c r="F52" s="3">
        <v>26.551656458</v>
      </c>
      <c r="G52" s="50">
        <f t="shared" si="3"/>
        <v>1.446131821766522E-3</v>
      </c>
      <c r="H52" s="3">
        <v>25.044392339000002</v>
      </c>
      <c r="I52" s="52">
        <f t="shared" si="4"/>
        <v>6.7114094387973238E-4</v>
      </c>
      <c r="J52" s="3">
        <v>126134.94</v>
      </c>
      <c r="K52" s="54">
        <f t="shared" si="5"/>
        <v>-6.1477925973274384E-3</v>
      </c>
      <c r="L52" s="3">
        <v>13.15</v>
      </c>
      <c r="M52" s="55">
        <f t="shared" si="0"/>
        <v>4.9037490119197003E-4</v>
      </c>
    </row>
    <row r="53" spans="1:13" x14ac:dyDescent="0.35">
      <c r="A53" s="9">
        <v>45691</v>
      </c>
      <c r="B53" s="3">
        <v>5.7596603215000002</v>
      </c>
      <c r="C53" s="29">
        <f t="shared" si="1"/>
        <v>-2.3791764545988754E-2</v>
      </c>
      <c r="D53" s="3">
        <v>8.0560915025999993</v>
      </c>
      <c r="E53" s="48">
        <f t="shared" si="2"/>
        <v>0</v>
      </c>
      <c r="F53" s="3">
        <v>26.484509928000001</v>
      </c>
      <c r="G53" s="50">
        <f t="shared" si="3"/>
        <v>-2.5321048051413714E-3</v>
      </c>
      <c r="H53" s="3">
        <v>24.899509474999999</v>
      </c>
      <c r="I53" s="52">
        <f t="shared" si="4"/>
        <v>-5.8018402707936123E-3</v>
      </c>
      <c r="J53" s="3">
        <v>125970.46</v>
      </c>
      <c r="K53" s="54">
        <f t="shared" si="5"/>
        <v>-1.3048512514009616E-3</v>
      </c>
      <c r="L53" s="3">
        <v>13.15</v>
      </c>
      <c r="M53" s="55">
        <f t="shared" si="0"/>
        <v>4.9037490119197003E-4</v>
      </c>
    </row>
    <row r="54" spans="1:13" x14ac:dyDescent="0.35">
      <c r="A54" s="9">
        <v>45692</v>
      </c>
      <c r="B54" s="3">
        <v>5.6394747930999998</v>
      </c>
      <c r="C54" s="29">
        <f t="shared" si="1"/>
        <v>-2.1087561623995593E-2</v>
      </c>
      <c r="D54" s="3">
        <v>8.0660250310000006</v>
      </c>
      <c r="E54" s="48">
        <f t="shared" si="2"/>
        <v>1.2322860508207248E-3</v>
      </c>
      <c r="F54" s="3">
        <v>26.637987711000001</v>
      </c>
      <c r="G54" s="50">
        <f t="shared" si="3"/>
        <v>5.7782753768490999E-3</v>
      </c>
      <c r="H54" s="3">
        <v>24.966760007000001</v>
      </c>
      <c r="I54" s="52">
        <f t="shared" si="4"/>
        <v>2.6972369687850275E-3</v>
      </c>
      <c r="J54" s="3">
        <v>125147.42</v>
      </c>
      <c r="K54" s="54">
        <f t="shared" si="5"/>
        <v>-6.5550326170389778E-3</v>
      </c>
      <c r="L54" s="3">
        <v>13.15</v>
      </c>
      <c r="M54" s="55">
        <f t="shared" si="0"/>
        <v>4.9037490119197003E-4</v>
      </c>
    </row>
    <row r="55" spans="1:13" x14ac:dyDescent="0.35">
      <c r="A55" s="9">
        <v>45693</v>
      </c>
      <c r="B55" s="3">
        <v>5.6024946304999999</v>
      </c>
      <c r="C55" s="29">
        <f t="shared" si="1"/>
        <v>-6.5789711020219988E-3</v>
      </c>
      <c r="D55" s="3">
        <v>8.3044297116999992</v>
      </c>
      <c r="E55" s="48">
        <f t="shared" si="2"/>
        <v>2.9128272920710144E-2</v>
      </c>
      <c r="F55" s="3">
        <v>26.69554188</v>
      </c>
      <c r="G55" s="50">
        <f t="shared" si="3"/>
        <v>2.1582742332142651E-3</v>
      </c>
      <c r="H55" s="3">
        <v>25.252574767999999</v>
      </c>
      <c r="I55" s="52">
        <f t="shared" si="4"/>
        <v>1.1382781086373323E-2</v>
      </c>
      <c r="J55" s="3">
        <v>125534.07</v>
      </c>
      <c r="K55" s="54">
        <f t="shared" si="5"/>
        <v>3.0847934293976938E-3</v>
      </c>
      <c r="L55" s="3">
        <v>13.15</v>
      </c>
      <c r="M55" s="55">
        <f t="shared" si="0"/>
        <v>4.9037490119197003E-4</v>
      </c>
    </row>
    <row r="56" spans="1:13" x14ac:dyDescent="0.35">
      <c r="A56" s="9">
        <v>45694</v>
      </c>
      <c r="B56" s="3">
        <v>5.7041900775999999</v>
      </c>
      <c r="C56" s="29">
        <f t="shared" si="1"/>
        <v>1.7989037838127241E-2</v>
      </c>
      <c r="D56" s="3">
        <v>8.2547620698999999</v>
      </c>
      <c r="E56" s="48">
        <f t="shared" si="2"/>
        <v>-5.9988182272680841E-3</v>
      </c>
      <c r="F56" s="3">
        <v>27.002497446</v>
      </c>
      <c r="G56" s="50">
        <f t="shared" si="3"/>
        <v>1.1432779048139389E-2</v>
      </c>
      <c r="H56" s="3">
        <v>25.353450565999999</v>
      </c>
      <c r="I56" s="52">
        <f t="shared" si="4"/>
        <v>3.9867162435062286E-3</v>
      </c>
      <c r="J56" s="3">
        <v>126224.74</v>
      </c>
      <c r="K56" s="54">
        <f t="shared" si="5"/>
        <v>5.4867730960360241E-3</v>
      </c>
      <c r="L56" s="3">
        <v>13.15</v>
      </c>
      <c r="M56" s="55">
        <f t="shared" si="0"/>
        <v>4.9037490119197003E-4</v>
      </c>
    </row>
    <row r="57" spans="1:13" x14ac:dyDescent="0.35">
      <c r="A57" s="9">
        <v>45695</v>
      </c>
      <c r="B57" s="3">
        <v>5.6117396711999996</v>
      </c>
      <c r="C57" s="29">
        <f t="shared" si="1"/>
        <v>-1.6340232838033819E-2</v>
      </c>
      <c r="D57" s="3">
        <v>8.0858920876999996</v>
      </c>
      <c r="E57" s="48">
        <f t="shared" si="2"/>
        <v>-2.0669428855869486E-2</v>
      </c>
      <c r="F57" s="3">
        <v>26.647580073</v>
      </c>
      <c r="G57" s="50">
        <f t="shared" si="3"/>
        <v>-1.323101725274285E-2</v>
      </c>
      <c r="H57" s="3">
        <v>25.218949502000001</v>
      </c>
      <c r="I57" s="52">
        <f t="shared" si="4"/>
        <v>-5.3191614771791462E-3</v>
      </c>
      <c r="J57" s="3">
        <v>124619.4</v>
      </c>
      <c r="K57" s="54">
        <f t="shared" si="5"/>
        <v>-1.2799676461042896E-2</v>
      </c>
      <c r="L57" s="3">
        <v>13.15</v>
      </c>
      <c r="M57" s="55">
        <f t="shared" si="0"/>
        <v>4.9037490119197003E-4</v>
      </c>
    </row>
    <row r="58" spans="1:13" x14ac:dyDescent="0.35">
      <c r="A58" s="9">
        <v>45698</v>
      </c>
      <c r="B58" s="3">
        <v>5.6579648744000002</v>
      </c>
      <c r="C58" s="29">
        <f t="shared" si="1"/>
        <v>8.2034914488679361E-3</v>
      </c>
      <c r="D58" s="3">
        <v>8.0163573890999995</v>
      </c>
      <c r="E58" s="48">
        <f t="shared" si="2"/>
        <v>-8.6366977397176175E-3</v>
      </c>
      <c r="F58" s="3">
        <v>26.685949518000001</v>
      </c>
      <c r="G58" s="50">
        <f t="shared" si="3"/>
        <v>1.4388491410146809E-3</v>
      </c>
      <c r="H58" s="3">
        <v>25.546795844999998</v>
      </c>
      <c r="I58" s="52">
        <f t="shared" si="4"/>
        <v>1.291622524595658E-2</v>
      </c>
      <c r="J58" s="3">
        <v>125571.81</v>
      </c>
      <c r="K58" s="54">
        <f t="shared" si="5"/>
        <v>7.6134936999218252E-3</v>
      </c>
      <c r="L58" s="3">
        <v>13.15</v>
      </c>
      <c r="M58" s="55">
        <f t="shared" si="0"/>
        <v>4.9037490119197003E-4</v>
      </c>
    </row>
    <row r="59" spans="1:13" x14ac:dyDescent="0.35">
      <c r="A59" s="9">
        <v>45699</v>
      </c>
      <c r="B59" s="3">
        <v>5.7226801589000003</v>
      </c>
      <c r="C59" s="29">
        <f t="shared" si="1"/>
        <v>1.1372990170328424E-2</v>
      </c>
      <c r="D59" s="3">
        <v>8.3044297116999992</v>
      </c>
      <c r="E59" s="48">
        <f t="shared" si="2"/>
        <v>3.5304944822855247E-2</v>
      </c>
      <c r="F59" s="3">
        <v>26.916166192999999</v>
      </c>
      <c r="G59" s="50">
        <f t="shared" si="3"/>
        <v>8.5898881979547051E-3</v>
      </c>
      <c r="H59" s="3">
        <v>25.891454822</v>
      </c>
      <c r="I59" s="52">
        <f t="shared" si="4"/>
        <v>1.3401083069356999E-2</v>
      </c>
      <c r="J59" s="3">
        <v>126521.66</v>
      </c>
      <c r="K59" s="54">
        <f t="shared" si="5"/>
        <v>7.5357326387271995E-3</v>
      </c>
      <c r="L59" s="3">
        <v>13.15</v>
      </c>
      <c r="M59" s="55">
        <f t="shared" si="0"/>
        <v>4.9037490119197003E-4</v>
      </c>
    </row>
    <row r="60" spans="1:13" x14ac:dyDescent="0.35">
      <c r="A60" s="9">
        <v>45700</v>
      </c>
      <c r="B60" s="3">
        <v>5.5562694273000002</v>
      </c>
      <c r="C60" s="29">
        <f t="shared" si="1"/>
        <v>-2.951033814944665E-2</v>
      </c>
      <c r="D60" s="3">
        <v>8.1454932579000001</v>
      </c>
      <c r="E60" s="48">
        <f t="shared" si="2"/>
        <v>-1.9324272824875446E-2</v>
      </c>
      <c r="F60" s="3">
        <v>26.474917566999999</v>
      </c>
      <c r="G60" s="50">
        <f t="shared" si="3"/>
        <v>-1.6529301946876161E-2</v>
      </c>
      <c r="H60" s="3">
        <v>25.311418982999999</v>
      </c>
      <c r="I60" s="52">
        <f t="shared" si="4"/>
        <v>-2.2657347503870166E-2</v>
      </c>
      <c r="J60" s="3">
        <v>124380.21</v>
      </c>
      <c r="K60" s="54">
        <f t="shared" si="5"/>
        <v>-1.7070434757984993E-2</v>
      </c>
      <c r="L60" s="3">
        <v>13.15</v>
      </c>
      <c r="M60" s="55">
        <f t="shared" si="0"/>
        <v>4.9037490119197003E-4</v>
      </c>
    </row>
    <row r="61" spans="1:13" x14ac:dyDescent="0.35">
      <c r="A61" s="9">
        <v>45701</v>
      </c>
      <c r="B61" s="3">
        <v>5.6024946304999999</v>
      </c>
      <c r="C61" s="29">
        <f t="shared" si="1"/>
        <v>8.285051530156913E-3</v>
      </c>
      <c r="D61" s="3">
        <v>8.2448285415000004</v>
      </c>
      <c r="E61" s="48">
        <f t="shared" si="2"/>
        <v>1.2121360528351201E-2</v>
      </c>
      <c r="F61" s="3">
        <v>26.331032145000002</v>
      </c>
      <c r="G61" s="50">
        <f t="shared" si="3"/>
        <v>-5.4496047842831526E-3</v>
      </c>
      <c r="H61" s="3">
        <v>25.479545312999999</v>
      </c>
      <c r="I61" s="52">
        <f t="shared" si="4"/>
        <v>6.6203485756782662E-3</v>
      </c>
      <c r="J61" s="3">
        <v>124850.18</v>
      </c>
      <c r="K61" s="54">
        <f t="shared" si="5"/>
        <v>3.7713744061643748E-3</v>
      </c>
      <c r="L61" s="3">
        <v>13.15</v>
      </c>
      <c r="M61" s="55">
        <f t="shared" si="0"/>
        <v>4.9037490119197003E-4</v>
      </c>
    </row>
    <row r="62" spans="1:13" x14ac:dyDescent="0.35">
      <c r="A62" s="9">
        <v>45702</v>
      </c>
      <c r="B62" s="3">
        <v>5.9168260123999996</v>
      </c>
      <c r="C62" s="29">
        <f t="shared" si="1"/>
        <v>5.4588190282841273E-2</v>
      </c>
      <c r="D62" s="3">
        <v>8.4136985237000008</v>
      </c>
      <c r="E62" s="48">
        <f t="shared" si="2"/>
        <v>2.0274993864346339E-2</v>
      </c>
      <c r="F62" s="3">
        <v>27.578039132000001</v>
      </c>
      <c r="G62" s="50">
        <f t="shared" si="3"/>
        <v>4.627159929396233E-2</v>
      </c>
      <c r="H62" s="3">
        <v>26.076393785</v>
      </c>
      <c r="I62" s="52">
        <f t="shared" si="4"/>
        <v>2.3154466696508065E-2</v>
      </c>
      <c r="J62" s="3">
        <v>128218.59</v>
      </c>
      <c r="K62" s="54">
        <f t="shared" si="5"/>
        <v>2.662208331944782E-2</v>
      </c>
      <c r="L62" s="3">
        <v>13.15</v>
      </c>
      <c r="M62" s="55">
        <f t="shared" si="0"/>
        <v>4.9037490119197003E-4</v>
      </c>
    </row>
    <row r="63" spans="1:13" x14ac:dyDescent="0.35">
      <c r="A63" s="9">
        <v>45705</v>
      </c>
      <c r="B63" s="3">
        <v>5.8058855246999999</v>
      </c>
      <c r="C63" s="29">
        <f t="shared" si="1"/>
        <v>-1.892800987992101E-2</v>
      </c>
      <c r="D63" s="3">
        <v>8.7613720163999993</v>
      </c>
      <c r="E63" s="48">
        <f t="shared" si="2"/>
        <v>4.0491361353038803E-2</v>
      </c>
      <c r="F63" s="3">
        <v>27.971325951000001</v>
      </c>
      <c r="G63" s="50">
        <f t="shared" si="3"/>
        <v>1.4160139899746634E-2</v>
      </c>
      <c r="H63" s="3">
        <v>26.261332748000001</v>
      </c>
      <c r="I63" s="52">
        <f t="shared" si="4"/>
        <v>7.067167222552395E-3</v>
      </c>
      <c r="J63" s="3">
        <v>128552.13</v>
      </c>
      <c r="K63" s="54">
        <f t="shared" si="5"/>
        <v>2.5979612285982234E-3</v>
      </c>
      <c r="L63" s="3">
        <v>13.15</v>
      </c>
      <c r="M63" s="55">
        <f t="shared" si="0"/>
        <v>4.9037490119197003E-4</v>
      </c>
    </row>
    <row r="64" spans="1:13" x14ac:dyDescent="0.35">
      <c r="A64" s="9">
        <v>45706</v>
      </c>
      <c r="B64" s="3">
        <v>5.8336206466</v>
      </c>
      <c r="C64" s="29">
        <f t="shared" si="1"/>
        <v>4.7656960673095952E-3</v>
      </c>
      <c r="D64" s="3">
        <v>8.6719702611000002</v>
      </c>
      <c r="E64" s="48">
        <f t="shared" si="2"/>
        <v>-1.0256500170719E-2</v>
      </c>
      <c r="F64" s="3">
        <v>28.249504432999998</v>
      </c>
      <c r="G64" s="50">
        <f t="shared" si="3"/>
        <v>9.8960029684643219E-3</v>
      </c>
      <c r="H64" s="3">
        <v>26.123515704999999</v>
      </c>
      <c r="I64" s="52">
        <f t="shared" si="4"/>
        <v>-5.2617260537710358E-3</v>
      </c>
      <c r="J64" s="3">
        <v>128531.71</v>
      </c>
      <c r="K64" s="54">
        <f t="shared" si="5"/>
        <v>-1.5885868238894342E-4</v>
      </c>
      <c r="L64" s="3">
        <v>13.15</v>
      </c>
      <c r="M64" s="55">
        <f t="shared" si="0"/>
        <v>4.9037490119197003E-4</v>
      </c>
    </row>
    <row r="65" spans="1:13" x14ac:dyDescent="0.35">
      <c r="A65" s="9">
        <v>45707</v>
      </c>
      <c r="B65" s="3">
        <v>5.6302297524</v>
      </c>
      <c r="C65" s="29">
        <f t="shared" si="1"/>
        <v>-3.5487594835538309E-2</v>
      </c>
      <c r="D65" s="3">
        <v>8.6024355626000002</v>
      </c>
      <c r="E65" s="48">
        <f t="shared" si="2"/>
        <v>-8.0506472722135652E-3</v>
      </c>
      <c r="F65" s="3">
        <v>27.683555108</v>
      </c>
      <c r="G65" s="50">
        <f t="shared" si="3"/>
        <v>-2.0237356758960406E-2</v>
      </c>
      <c r="H65" s="3">
        <v>25.884419121000001</v>
      </c>
      <c r="I65" s="52">
        <f t="shared" si="4"/>
        <v>-9.1946842064458811E-3</v>
      </c>
      <c r="J65" s="3">
        <v>127308.8</v>
      </c>
      <c r="K65" s="54">
        <f t="shared" si="5"/>
        <v>-9.560013102357932E-3</v>
      </c>
      <c r="L65" s="3">
        <v>13.15</v>
      </c>
      <c r="M65" s="55">
        <f t="shared" si="0"/>
        <v>4.9037490119197003E-4</v>
      </c>
    </row>
    <row r="66" spans="1:13" x14ac:dyDescent="0.35">
      <c r="A66" s="9">
        <v>45708</v>
      </c>
      <c r="B66" s="3">
        <v>5.6394747930999998</v>
      </c>
      <c r="C66" s="29">
        <f t="shared" si="1"/>
        <v>1.6406894673305682E-3</v>
      </c>
      <c r="D66" s="3">
        <v>8.7911726014999996</v>
      </c>
      <c r="E66" s="48">
        <f t="shared" si="2"/>
        <v>2.170273644523164E-2</v>
      </c>
      <c r="F66" s="3">
        <v>26.858612023999999</v>
      </c>
      <c r="G66" s="50">
        <f t="shared" si="3"/>
        <v>-3.0252043185176367E-2</v>
      </c>
      <c r="H66" s="3">
        <v>25.742732256</v>
      </c>
      <c r="I66" s="52">
        <f t="shared" si="4"/>
        <v>-5.4888645584700146E-3</v>
      </c>
      <c r="J66" s="3">
        <v>127600.58</v>
      </c>
      <c r="K66" s="54">
        <f t="shared" si="5"/>
        <v>2.2892851367860793E-3</v>
      </c>
      <c r="L66" s="3">
        <v>13.15</v>
      </c>
      <c r="M66" s="55">
        <f t="shared" si="0"/>
        <v>4.9037490119197003E-4</v>
      </c>
    </row>
    <row r="67" spans="1:13" x14ac:dyDescent="0.35">
      <c r="A67" s="9">
        <v>45709</v>
      </c>
      <c r="B67" s="3">
        <v>5.6579648744000002</v>
      </c>
      <c r="C67" s="29">
        <f t="shared" si="1"/>
        <v>3.2733253469395111E-3</v>
      </c>
      <c r="D67" s="3">
        <v>8.7613720163999993</v>
      </c>
      <c r="E67" s="48">
        <f t="shared" si="2"/>
        <v>-3.395589002298948E-3</v>
      </c>
      <c r="F67" s="3">
        <v>26.839427301000001</v>
      </c>
      <c r="G67" s="50">
        <f t="shared" si="3"/>
        <v>-7.1454094255269513E-4</v>
      </c>
      <c r="H67" s="3">
        <v>25.769298543000001</v>
      </c>
      <c r="I67" s="52">
        <f t="shared" si="4"/>
        <v>1.0314596005349976E-3</v>
      </c>
      <c r="J67" s="3">
        <v>127128.06</v>
      </c>
      <c r="K67" s="54">
        <f t="shared" si="5"/>
        <v>-3.7099914794172175E-3</v>
      </c>
      <c r="L67" s="3">
        <v>13.15</v>
      </c>
      <c r="M67" s="55">
        <f t="shared" si="0"/>
        <v>4.9037490119197003E-4</v>
      </c>
    </row>
    <row r="68" spans="1:13" x14ac:dyDescent="0.35">
      <c r="A68" s="9">
        <v>45712</v>
      </c>
      <c r="B68" s="3">
        <v>5.6487198337000004</v>
      </c>
      <c r="C68" s="29">
        <f t="shared" si="1"/>
        <v>-1.6353233505657469E-3</v>
      </c>
      <c r="D68" s="3">
        <v>8.6223026192999992</v>
      </c>
      <c r="E68" s="48">
        <f t="shared" si="2"/>
        <v>-1.6000341348097958E-2</v>
      </c>
      <c r="F68" s="3">
        <v>26.676357157000002</v>
      </c>
      <c r="G68" s="50">
        <f t="shared" si="3"/>
        <v>-6.0943009753175329E-3</v>
      </c>
      <c r="H68" s="3">
        <v>25.459358525999999</v>
      </c>
      <c r="I68" s="52">
        <f t="shared" si="4"/>
        <v>-1.2100406940363869E-2</v>
      </c>
      <c r="J68" s="3">
        <v>125401.38</v>
      </c>
      <c r="K68" s="54">
        <f t="shared" si="5"/>
        <v>-1.3675291952530097E-2</v>
      </c>
      <c r="L68" s="3">
        <v>13.15</v>
      </c>
      <c r="M68" s="55">
        <f t="shared" ref="M68:M131" si="6">(1+L68/100)^(1/252) -1</f>
        <v>4.9037490119197003E-4</v>
      </c>
    </row>
    <row r="69" spans="1:13" x14ac:dyDescent="0.35">
      <c r="A69" s="9">
        <v>45713</v>
      </c>
      <c r="B69" s="3">
        <v>5.4360838988999998</v>
      </c>
      <c r="C69" s="29">
        <f t="shared" ref="C69:C132" si="7">LN(B69/B68)</f>
        <v>-3.8370011269265349E-2</v>
      </c>
      <c r="D69" s="3">
        <v>8.3838979386000005</v>
      </c>
      <c r="E69" s="48">
        <f t="shared" ref="E69:E132" si="8">LN(D69/D68)</f>
        <v>-2.8039220062249216E-2</v>
      </c>
      <c r="F69" s="3">
        <v>27.079236337000001</v>
      </c>
      <c r="G69" s="50">
        <f t="shared" ref="G69:G132" si="9">LN(F69/F68)</f>
        <v>1.4989574006059552E-2</v>
      </c>
      <c r="H69" s="3">
        <v>25.654177965999999</v>
      </c>
      <c r="I69" s="52">
        <f t="shared" ref="I69:I132" si="10">LN(H69/H68)</f>
        <v>7.6230445708189588E-3</v>
      </c>
      <c r="J69" s="3">
        <v>125979.5</v>
      </c>
      <c r="K69" s="54">
        <f t="shared" ref="K69:K132" si="11">LN(J69/J68)</f>
        <v>4.5995623789999631E-3</v>
      </c>
      <c r="L69" s="3">
        <v>13.15</v>
      </c>
      <c r="M69" s="55">
        <f t="shared" si="6"/>
        <v>4.9037490119197003E-4</v>
      </c>
    </row>
    <row r="70" spans="1:13" x14ac:dyDescent="0.35">
      <c r="A70" s="9">
        <v>45714</v>
      </c>
      <c r="B70" s="3">
        <v>5.4175938176000002</v>
      </c>
      <c r="C70" s="29">
        <f t="shared" si="7"/>
        <v>-3.4071583236860371E-3</v>
      </c>
      <c r="D70" s="3">
        <v>8.0163573890999995</v>
      </c>
      <c r="E70" s="48">
        <f t="shared" si="8"/>
        <v>-4.482882633336896E-2</v>
      </c>
      <c r="F70" s="3">
        <v>26.925758554000002</v>
      </c>
      <c r="G70" s="50">
        <f t="shared" si="9"/>
        <v>-5.6838518918304499E-3</v>
      </c>
      <c r="H70" s="3">
        <v>25.477069384</v>
      </c>
      <c r="I70" s="52">
        <f t="shared" si="10"/>
        <v>-6.927634254844957E-3</v>
      </c>
      <c r="J70" s="3">
        <v>124768.71</v>
      </c>
      <c r="K70" s="54">
        <f t="shared" si="11"/>
        <v>-9.6574919562788745E-3</v>
      </c>
      <c r="L70" s="3">
        <v>13.15</v>
      </c>
      <c r="M70" s="55">
        <f t="shared" si="6"/>
        <v>4.9037490119197003E-4</v>
      </c>
    </row>
    <row r="71" spans="1:13" x14ac:dyDescent="0.35">
      <c r="A71" s="9">
        <v>45715</v>
      </c>
      <c r="B71" s="3">
        <v>5.3213665739999998</v>
      </c>
      <c r="C71" s="29">
        <f t="shared" si="7"/>
        <v>-1.7921626607609101E-2</v>
      </c>
      <c r="D71" s="3">
        <v>7.9070885771999997</v>
      </c>
      <c r="E71" s="48">
        <f t="shared" si="8"/>
        <v>-1.3724482413530121E-2</v>
      </c>
      <c r="F71" s="3">
        <v>26.820242578999999</v>
      </c>
      <c r="G71" s="50">
        <f t="shared" si="9"/>
        <v>-3.9264729780427382E-3</v>
      </c>
      <c r="H71" s="3">
        <v>25.751587685000001</v>
      </c>
      <c r="I71" s="52">
        <f t="shared" si="10"/>
        <v>1.0717475116345071E-2</v>
      </c>
      <c r="J71" s="3">
        <v>124798.96</v>
      </c>
      <c r="K71" s="54">
        <f t="shared" si="11"/>
        <v>2.4241922159341832E-4</v>
      </c>
      <c r="L71" s="3">
        <v>13.15</v>
      </c>
      <c r="M71" s="55">
        <f t="shared" si="6"/>
        <v>4.9037490119197003E-4</v>
      </c>
    </row>
    <row r="72" spans="1:13" x14ac:dyDescent="0.35">
      <c r="A72" s="9">
        <v>45716</v>
      </c>
      <c r="B72" s="3">
        <v>5.5330665100000003</v>
      </c>
      <c r="C72" s="29">
        <f t="shared" si="7"/>
        <v>3.9012039268479355E-2</v>
      </c>
      <c r="D72" s="3">
        <v>7.7382185950000002</v>
      </c>
      <c r="E72" s="48">
        <f t="shared" si="8"/>
        <v>-2.1588139976686831E-2</v>
      </c>
      <c r="F72" s="3">
        <v>26.196739085000001</v>
      </c>
      <c r="G72" s="50">
        <f t="shared" si="9"/>
        <v>-2.3521981901689734E-2</v>
      </c>
      <c r="H72" s="3">
        <v>25.291105374000001</v>
      </c>
      <c r="I72" s="52">
        <f t="shared" si="10"/>
        <v>-1.8043515204377313E-2</v>
      </c>
      <c r="J72" s="3">
        <v>122799.09</v>
      </c>
      <c r="K72" s="54">
        <f t="shared" si="11"/>
        <v>-1.6154517305139584E-2</v>
      </c>
      <c r="L72" s="3">
        <v>13.15</v>
      </c>
      <c r="M72" s="55">
        <f t="shared" si="6"/>
        <v>4.9037490119197003E-4</v>
      </c>
    </row>
    <row r="73" spans="1:13" x14ac:dyDescent="0.35">
      <c r="A73" s="9">
        <v>45721</v>
      </c>
      <c r="B73" s="3">
        <v>5.5138210612999998</v>
      </c>
      <c r="C73" s="29">
        <f t="shared" si="7"/>
        <v>-3.4843240770912345E-3</v>
      </c>
      <c r="D73" s="3">
        <v>7.8176868218999997</v>
      </c>
      <c r="E73" s="48">
        <f t="shared" si="8"/>
        <v>1.0217202545850273E-2</v>
      </c>
      <c r="F73" s="3">
        <v>26.637987711000001</v>
      </c>
      <c r="G73" s="50">
        <f t="shared" si="9"/>
        <v>1.6703365828915656E-2</v>
      </c>
      <c r="H73" s="3">
        <v>25.696624695000001</v>
      </c>
      <c r="I73" s="52">
        <f t="shared" si="10"/>
        <v>1.5906880776583428E-2</v>
      </c>
      <c r="J73" s="3">
        <v>123046.85</v>
      </c>
      <c r="K73" s="54">
        <f t="shared" si="11"/>
        <v>2.0155718974062702E-3</v>
      </c>
      <c r="L73" s="3">
        <v>13.15</v>
      </c>
      <c r="M73" s="55">
        <f t="shared" si="6"/>
        <v>4.9037490119197003E-4</v>
      </c>
    </row>
    <row r="74" spans="1:13" x14ac:dyDescent="0.35">
      <c r="A74" s="9">
        <v>45722</v>
      </c>
      <c r="B74" s="3">
        <v>5.1289120866999998</v>
      </c>
      <c r="C74" s="29">
        <f t="shared" si="7"/>
        <v>-7.2364292546785433E-2</v>
      </c>
      <c r="D74" s="3">
        <v>7.8375538785999996</v>
      </c>
      <c r="E74" s="48">
        <f t="shared" si="8"/>
        <v>2.5380724250826433E-3</v>
      </c>
      <c r="F74" s="3">
        <v>26.599618266</v>
      </c>
      <c r="G74" s="50">
        <f t="shared" si="9"/>
        <v>-1.4414416628764392E-3</v>
      </c>
      <c r="H74" s="3">
        <v>25.634598359000002</v>
      </c>
      <c r="I74" s="52">
        <f t="shared" si="10"/>
        <v>-2.4167110190785241E-3</v>
      </c>
      <c r="J74" s="3">
        <v>123357.55</v>
      </c>
      <c r="K74" s="54">
        <f t="shared" si="11"/>
        <v>2.5218718875700745E-3</v>
      </c>
      <c r="L74" s="3">
        <v>13.15</v>
      </c>
      <c r="M74" s="55">
        <f t="shared" si="6"/>
        <v>4.9037490119197003E-4</v>
      </c>
    </row>
    <row r="75" spans="1:13" x14ac:dyDescent="0.35">
      <c r="A75" s="9">
        <v>45723</v>
      </c>
      <c r="B75" s="3">
        <v>5.4849528881999996</v>
      </c>
      <c r="C75" s="29">
        <f t="shared" si="7"/>
        <v>6.7114936659878055E-2</v>
      </c>
      <c r="D75" s="3">
        <v>7.9964903323999996</v>
      </c>
      <c r="E75" s="48">
        <f t="shared" si="8"/>
        <v>2.0075956571199323E-2</v>
      </c>
      <c r="F75" s="3">
        <v>26.916166192999999</v>
      </c>
      <c r="G75" s="50">
        <f t="shared" si="9"/>
        <v>1.1830215030456819E-2</v>
      </c>
      <c r="H75" s="3">
        <v>25.873842796000002</v>
      </c>
      <c r="I75" s="52">
        <f t="shared" si="10"/>
        <v>9.2895902935133615E-3</v>
      </c>
      <c r="J75" s="3">
        <v>125034.63</v>
      </c>
      <c r="K75" s="54">
        <f t="shared" si="11"/>
        <v>1.3503689886698443E-2</v>
      </c>
      <c r="L75" s="3">
        <v>13.15</v>
      </c>
      <c r="M75" s="55">
        <f t="shared" si="6"/>
        <v>4.9037490119197003E-4</v>
      </c>
    </row>
    <row r="76" spans="1:13" x14ac:dyDescent="0.35">
      <c r="A76" s="9">
        <v>45726</v>
      </c>
      <c r="B76" s="3">
        <v>5.2924984008999996</v>
      </c>
      <c r="C76" s="29">
        <f t="shared" si="7"/>
        <v>-3.571808260108477E-2</v>
      </c>
      <c r="D76" s="3">
        <v>7.7084180098999999</v>
      </c>
      <c r="E76" s="48">
        <f t="shared" si="8"/>
        <v>-3.6689757230977373E-2</v>
      </c>
      <c r="F76" s="3">
        <v>26.829834940000001</v>
      </c>
      <c r="G76" s="50">
        <f t="shared" si="9"/>
        <v>-3.2125674628505864E-3</v>
      </c>
      <c r="H76" s="3">
        <v>25.891564605999999</v>
      </c>
      <c r="I76" s="52">
        <f t="shared" si="10"/>
        <v>6.8469704313241957E-4</v>
      </c>
      <c r="J76" s="3">
        <v>124519.38</v>
      </c>
      <c r="K76" s="54">
        <f t="shared" si="11"/>
        <v>-4.1293724926150617E-3</v>
      </c>
      <c r="L76" s="3">
        <v>13.15</v>
      </c>
      <c r="M76" s="55">
        <f t="shared" si="6"/>
        <v>4.9037490119197003E-4</v>
      </c>
    </row>
    <row r="77" spans="1:13" x14ac:dyDescent="0.35">
      <c r="A77" s="9">
        <v>45727</v>
      </c>
      <c r="B77" s="3">
        <v>5.0711757405000002</v>
      </c>
      <c r="C77" s="29">
        <f t="shared" si="7"/>
        <v>-4.2717729684903241E-2</v>
      </c>
      <c r="D77" s="3">
        <v>7.4501462723999996</v>
      </c>
      <c r="E77" s="48">
        <f t="shared" si="8"/>
        <v>-3.4079313660231252E-2</v>
      </c>
      <c r="F77" s="3">
        <v>26.590025904000001</v>
      </c>
      <c r="G77" s="50">
        <f t="shared" si="9"/>
        <v>-8.9783328947475472E-3</v>
      </c>
      <c r="H77" s="3">
        <v>25.723207410000001</v>
      </c>
      <c r="I77" s="52">
        <f t="shared" si="10"/>
        <v>-6.5236282753446959E-3</v>
      </c>
      <c r="J77" s="3">
        <v>123507.35</v>
      </c>
      <c r="K77" s="54">
        <f t="shared" si="11"/>
        <v>-8.1606979740170612E-3</v>
      </c>
      <c r="L77" s="3">
        <v>13.15</v>
      </c>
      <c r="M77" s="55">
        <f t="shared" si="6"/>
        <v>4.9037490119197003E-4</v>
      </c>
    </row>
    <row r="78" spans="1:13" x14ac:dyDescent="0.35">
      <c r="A78" s="9">
        <v>45728</v>
      </c>
      <c r="B78" s="3">
        <v>5.0423075674</v>
      </c>
      <c r="C78" s="29">
        <f t="shared" si="7"/>
        <v>-5.7088642211481477E-3</v>
      </c>
      <c r="D78" s="3">
        <v>7.3905451022999999</v>
      </c>
      <c r="E78" s="48">
        <f t="shared" si="8"/>
        <v>-8.0321716865478163E-3</v>
      </c>
      <c r="F78" s="3">
        <v>26.556517289999999</v>
      </c>
      <c r="G78" s="50">
        <f t="shared" si="9"/>
        <v>-1.2609895743489184E-3</v>
      </c>
      <c r="H78" s="3">
        <v>25.811816460999999</v>
      </c>
      <c r="I78" s="52">
        <f t="shared" si="10"/>
        <v>3.438792947522851E-3</v>
      </c>
      <c r="J78" s="3">
        <v>123863.5</v>
      </c>
      <c r="K78" s="54">
        <f t="shared" si="11"/>
        <v>2.8794843538168646E-3</v>
      </c>
      <c r="L78" s="3">
        <v>13.15</v>
      </c>
      <c r="M78" s="55">
        <f t="shared" si="6"/>
        <v>4.9037490119197003E-4</v>
      </c>
    </row>
    <row r="79" spans="1:13" x14ac:dyDescent="0.35">
      <c r="A79" s="9">
        <v>45729</v>
      </c>
      <c r="B79" s="3">
        <v>5.2251393303000002</v>
      </c>
      <c r="C79" s="29">
        <f t="shared" si="7"/>
        <v>3.5617635605223387E-2</v>
      </c>
      <c r="D79" s="3">
        <v>7.4700133292000004</v>
      </c>
      <c r="E79" s="48">
        <f t="shared" si="8"/>
        <v>1.0695289115884379E-2</v>
      </c>
      <c r="F79" s="3">
        <v>26.988490214999999</v>
      </c>
      <c r="G79" s="50">
        <f t="shared" si="9"/>
        <v>1.6135296903361483E-2</v>
      </c>
      <c r="H79" s="3">
        <v>26.059921803000002</v>
      </c>
      <c r="I79" s="52">
        <f t="shared" si="10"/>
        <v>9.5661815990129712E-3</v>
      </c>
      <c r="J79" s="3">
        <v>125637.11</v>
      </c>
      <c r="K79" s="54">
        <f t="shared" si="11"/>
        <v>1.4217519356309464E-2</v>
      </c>
      <c r="L79" s="3">
        <v>13.15</v>
      </c>
      <c r="M79" s="55">
        <f t="shared" si="6"/>
        <v>4.9037490119197003E-4</v>
      </c>
    </row>
    <row r="80" spans="1:13" x14ac:dyDescent="0.35">
      <c r="A80" s="9">
        <v>45730</v>
      </c>
      <c r="B80" s="3">
        <v>5.4560847151000003</v>
      </c>
      <c r="C80" s="29">
        <f t="shared" si="7"/>
        <v>4.3249983800297334E-2</v>
      </c>
      <c r="D80" s="3">
        <v>7.5395480277000004</v>
      </c>
      <c r="E80" s="48">
        <f t="shared" si="8"/>
        <v>9.265453440075554E-3</v>
      </c>
      <c r="F80" s="3">
        <v>27.371375307000001</v>
      </c>
      <c r="G80" s="50">
        <f t="shared" si="9"/>
        <v>1.4087283708829489E-2</v>
      </c>
      <c r="H80" s="3">
        <v>26.990316835000002</v>
      </c>
      <c r="I80" s="52">
        <f t="shared" si="10"/>
        <v>3.5079594898554653E-2</v>
      </c>
      <c r="J80" s="3">
        <v>128957.09</v>
      </c>
      <c r="K80" s="54">
        <f t="shared" si="11"/>
        <v>2.6082041189944307E-2</v>
      </c>
      <c r="L80" s="3">
        <v>13.15</v>
      </c>
      <c r="M80" s="55">
        <f t="shared" si="6"/>
        <v>4.9037490119197003E-4</v>
      </c>
    </row>
    <row r="81" spans="1:13" x14ac:dyDescent="0.35">
      <c r="A81" s="9">
        <v>45733</v>
      </c>
      <c r="B81" s="3">
        <v>5.3502347471</v>
      </c>
      <c r="C81" s="29">
        <f t="shared" si="7"/>
        <v>-1.9591009473840324E-2</v>
      </c>
      <c r="D81" s="3">
        <v>7.7580856517000001</v>
      </c>
      <c r="E81" s="48">
        <f t="shared" si="8"/>
        <v>2.857337244517676E-2</v>
      </c>
      <c r="F81" s="3">
        <v>27.940794162</v>
      </c>
      <c r="G81" s="50">
        <f t="shared" si="9"/>
        <v>2.0590006768535892E-2</v>
      </c>
      <c r="H81" s="3">
        <v>27.566275663999999</v>
      </c>
      <c r="I81" s="52">
        <f t="shared" si="10"/>
        <v>2.1114963428941105E-2</v>
      </c>
      <c r="J81" s="3">
        <v>130833.96</v>
      </c>
      <c r="K81" s="54">
        <f t="shared" si="11"/>
        <v>1.4449324984554368E-2</v>
      </c>
      <c r="L81" s="3">
        <v>13.15</v>
      </c>
      <c r="M81" s="55">
        <f t="shared" si="6"/>
        <v>4.9037490119197003E-4</v>
      </c>
    </row>
    <row r="82" spans="1:13" x14ac:dyDescent="0.35">
      <c r="A82" s="9">
        <v>45734</v>
      </c>
      <c r="B82" s="3">
        <v>5.2443847789999998</v>
      </c>
      <c r="C82" s="29">
        <f t="shared" si="7"/>
        <v>-1.9982499602942547E-2</v>
      </c>
      <c r="D82" s="3">
        <v>7.7680191800999996</v>
      </c>
      <c r="E82" s="48">
        <f t="shared" si="8"/>
        <v>1.2795907103556312E-3</v>
      </c>
      <c r="F82" s="3">
        <v>27.980064427999999</v>
      </c>
      <c r="G82" s="50">
        <f t="shared" si="9"/>
        <v>1.4044946177709839E-3</v>
      </c>
      <c r="H82" s="3">
        <v>27.730202408</v>
      </c>
      <c r="I82" s="52">
        <f t="shared" si="10"/>
        <v>5.9290294763925536E-3</v>
      </c>
      <c r="J82" s="3">
        <v>131474.73000000001</v>
      </c>
      <c r="K82" s="54">
        <f t="shared" si="11"/>
        <v>4.8856274991381336E-3</v>
      </c>
      <c r="L82" s="3">
        <v>13.15</v>
      </c>
      <c r="M82" s="55">
        <f t="shared" si="6"/>
        <v>4.9037490119197003E-4</v>
      </c>
    </row>
    <row r="83" spans="1:13" x14ac:dyDescent="0.35">
      <c r="A83" s="9">
        <v>45735</v>
      </c>
      <c r="B83" s="3">
        <v>5.3021211252000002</v>
      </c>
      <c r="C83" s="29">
        <f t="shared" si="7"/>
        <v>1.0949014491400741E-2</v>
      </c>
      <c r="D83" s="3">
        <v>7.6786174247999996</v>
      </c>
      <c r="E83" s="48">
        <f t="shared" si="8"/>
        <v>-1.1575691961836009E-2</v>
      </c>
      <c r="F83" s="3">
        <v>27.872071197</v>
      </c>
      <c r="G83" s="50">
        <f t="shared" si="9"/>
        <v>-3.8671167852182089E-3</v>
      </c>
      <c r="H83" s="3">
        <v>27.925142318999999</v>
      </c>
      <c r="I83" s="52">
        <f t="shared" si="10"/>
        <v>7.0052825712274367E-3</v>
      </c>
      <c r="J83" s="3">
        <v>132508.45000000001</v>
      </c>
      <c r="K83" s="54">
        <f t="shared" si="11"/>
        <v>7.8317511267963665E-3</v>
      </c>
      <c r="L83" s="3">
        <v>13.15</v>
      </c>
      <c r="M83" s="55">
        <f t="shared" si="6"/>
        <v>4.9037490119197003E-4</v>
      </c>
    </row>
    <row r="84" spans="1:13" x14ac:dyDescent="0.35">
      <c r="A84" s="9">
        <v>45736</v>
      </c>
      <c r="B84" s="3">
        <v>5.3117438496</v>
      </c>
      <c r="C84" s="29">
        <f t="shared" si="7"/>
        <v>1.8132371307408922E-3</v>
      </c>
      <c r="D84" s="3">
        <v>7.7481521232999997</v>
      </c>
      <c r="E84" s="48">
        <f t="shared" si="8"/>
        <v>9.0148710906889761E-3</v>
      </c>
      <c r="F84" s="3">
        <v>27.734625265999998</v>
      </c>
      <c r="G84" s="50">
        <f t="shared" si="9"/>
        <v>-4.943512909587968E-3</v>
      </c>
      <c r="H84" s="3">
        <v>27.749696399000001</v>
      </c>
      <c r="I84" s="52">
        <f t="shared" si="10"/>
        <v>-6.3025418589537207E-3</v>
      </c>
      <c r="J84" s="3">
        <v>131954.9</v>
      </c>
      <c r="K84" s="54">
        <f t="shared" si="11"/>
        <v>-4.1862194393838181E-3</v>
      </c>
      <c r="L84" s="3">
        <v>14.15</v>
      </c>
      <c r="M84" s="55">
        <f t="shared" si="6"/>
        <v>5.2530930356686767E-4</v>
      </c>
    </row>
    <row r="85" spans="1:13" x14ac:dyDescent="0.35">
      <c r="A85" s="9">
        <v>45737</v>
      </c>
      <c r="B85" s="3">
        <v>5.3887256445</v>
      </c>
      <c r="C85" s="29">
        <f t="shared" si="7"/>
        <v>1.4388737448065412E-2</v>
      </c>
      <c r="D85" s="3">
        <v>7.8673544636999999</v>
      </c>
      <c r="E85" s="48">
        <f t="shared" si="8"/>
        <v>1.5267472136068416E-2</v>
      </c>
      <c r="F85" s="3">
        <v>27.852436063999999</v>
      </c>
      <c r="G85" s="50">
        <f t="shared" si="9"/>
        <v>4.238791243027281E-3</v>
      </c>
      <c r="H85" s="3">
        <v>27.710708416999999</v>
      </c>
      <c r="I85" s="52">
        <f t="shared" si="10"/>
        <v>-1.4059756163650645E-3</v>
      </c>
      <c r="J85" s="3">
        <v>132344.88</v>
      </c>
      <c r="K85" s="54">
        <f t="shared" si="11"/>
        <v>2.951045082346494E-3</v>
      </c>
      <c r="L85" s="3">
        <v>14.15</v>
      </c>
      <c r="M85" s="55">
        <f t="shared" si="6"/>
        <v>5.2530930356686767E-4</v>
      </c>
    </row>
    <row r="86" spans="1:13" x14ac:dyDescent="0.35">
      <c r="A86" s="9">
        <v>45740</v>
      </c>
      <c r="B86" s="3">
        <v>5.2636302278000002</v>
      </c>
      <c r="C86" s="29">
        <f t="shared" si="7"/>
        <v>-2.3487981298223395E-2</v>
      </c>
      <c r="D86" s="3">
        <v>7.6686838964000001</v>
      </c>
      <c r="E86" s="48">
        <f t="shared" si="8"/>
        <v>-2.5576841794193946E-2</v>
      </c>
      <c r="F86" s="3">
        <v>27.842618497</v>
      </c>
      <c r="G86" s="50">
        <f t="shared" si="9"/>
        <v>-3.525471760129839E-4</v>
      </c>
      <c r="H86" s="3">
        <v>27.739949403000001</v>
      </c>
      <c r="I86" s="52">
        <f t="shared" si="10"/>
        <v>1.0546669727659751E-3</v>
      </c>
      <c r="J86" s="3">
        <v>131321.44</v>
      </c>
      <c r="K86" s="54">
        <f t="shared" si="11"/>
        <v>-7.7631844671643951E-3</v>
      </c>
      <c r="L86" s="3">
        <v>14.15</v>
      </c>
      <c r="M86" s="55">
        <f t="shared" si="6"/>
        <v>5.2530930356686767E-4</v>
      </c>
    </row>
    <row r="87" spans="1:13" x14ac:dyDescent="0.35">
      <c r="A87" s="9">
        <v>45741</v>
      </c>
      <c r="B87" s="3">
        <v>5.2636302278000002</v>
      </c>
      <c r="C87" s="29">
        <f t="shared" si="7"/>
        <v>0</v>
      </c>
      <c r="D87" s="3">
        <v>7.7183515382000003</v>
      </c>
      <c r="E87" s="48">
        <f t="shared" si="8"/>
        <v>6.4558003407902244E-3</v>
      </c>
      <c r="F87" s="3">
        <v>27.950611727999998</v>
      </c>
      <c r="G87" s="50">
        <f t="shared" si="9"/>
        <v>3.8711996215913301E-3</v>
      </c>
      <c r="H87" s="3">
        <v>27.837419358999998</v>
      </c>
      <c r="I87" s="52">
        <f t="shared" si="10"/>
        <v>3.5075448190933583E-3</v>
      </c>
      <c r="J87" s="3">
        <v>132067.69</v>
      </c>
      <c r="K87" s="54">
        <f t="shared" si="11"/>
        <v>5.6665360246003103E-3</v>
      </c>
      <c r="L87" s="3">
        <v>14.15</v>
      </c>
      <c r="M87" s="55">
        <f t="shared" si="6"/>
        <v>5.2530930356686767E-4</v>
      </c>
    </row>
    <row r="88" spans="1:13" x14ac:dyDescent="0.35">
      <c r="A88" s="9">
        <v>45742</v>
      </c>
      <c r="B88" s="3">
        <v>5.2251393303000002</v>
      </c>
      <c r="C88" s="29">
        <f t="shared" si="7"/>
        <v>-7.339482495498156E-3</v>
      </c>
      <c r="D88" s="3">
        <v>7.7580856517000001</v>
      </c>
      <c r="E88" s="48">
        <f t="shared" si="8"/>
        <v>5.1347994781266474E-3</v>
      </c>
      <c r="F88" s="3">
        <v>28.284408987999999</v>
      </c>
      <c r="G88" s="50">
        <f t="shared" si="9"/>
        <v>1.187164781230267E-2</v>
      </c>
      <c r="H88" s="3">
        <v>27.593744470000001</v>
      </c>
      <c r="I88" s="52">
        <f t="shared" si="10"/>
        <v>-8.7920383350003802E-3</v>
      </c>
      <c r="J88" s="3">
        <v>132519.63</v>
      </c>
      <c r="K88" s="54">
        <f t="shared" si="11"/>
        <v>3.416191218273257E-3</v>
      </c>
      <c r="L88" s="3">
        <v>14.15</v>
      </c>
      <c r="M88" s="55">
        <f t="shared" si="6"/>
        <v>5.2530930356686767E-4</v>
      </c>
    </row>
    <row r="89" spans="1:13" x14ac:dyDescent="0.35">
      <c r="A89" s="9">
        <v>45743</v>
      </c>
      <c r="B89" s="3">
        <v>5.1192893623</v>
      </c>
      <c r="C89" s="29">
        <f t="shared" si="7"/>
        <v>-2.0465830588945518E-2</v>
      </c>
      <c r="D89" s="3">
        <v>7.7382185950000002</v>
      </c>
      <c r="E89" s="48">
        <f t="shared" si="8"/>
        <v>-2.5641039655124979E-3</v>
      </c>
      <c r="F89" s="3">
        <v>28.166598190999999</v>
      </c>
      <c r="G89" s="50">
        <f t="shared" si="9"/>
        <v>-4.1739190822266082E-3</v>
      </c>
      <c r="H89" s="3">
        <v>27.603491465000001</v>
      </c>
      <c r="I89" s="52">
        <f t="shared" si="10"/>
        <v>3.5316968091631288E-4</v>
      </c>
      <c r="J89" s="3">
        <v>133148.75</v>
      </c>
      <c r="K89" s="54">
        <f t="shared" si="11"/>
        <v>4.7361389110946268E-3</v>
      </c>
      <c r="L89" s="3">
        <v>14.15</v>
      </c>
      <c r="M89" s="55">
        <f t="shared" si="6"/>
        <v>5.2530930356686767E-4</v>
      </c>
    </row>
    <row r="90" spans="1:13" x14ac:dyDescent="0.35">
      <c r="A90" s="9">
        <v>45744</v>
      </c>
      <c r="B90" s="3">
        <v>5.0230621186000004</v>
      </c>
      <c r="C90" s="29">
        <f t="shared" si="7"/>
        <v>-1.897590146851056E-2</v>
      </c>
      <c r="D90" s="3">
        <v>7.7282850665999998</v>
      </c>
      <c r="E90" s="48">
        <f t="shared" si="8"/>
        <v>-1.2845216971072641E-3</v>
      </c>
      <c r="F90" s="3">
        <v>28.117510358000001</v>
      </c>
      <c r="G90" s="50">
        <f t="shared" si="9"/>
        <v>-1.7442879246542542E-3</v>
      </c>
      <c r="H90" s="3">
        <v>27.379310567000001</v>
      </c>
      <c r="I90" s="52">
        <f t="shared" si="10"/>
        <v>-8.1546277021573958E-3</v>
      </c>
      <c r="J90" s="3">
        <v>131902.18</v>
      </c>
      <c r="K90" s="54">
        <f t="shared" si="11"/>
        <v>-9.4063370483329911E-3</v>
      </c>
      <c r="L90" s="3">
        <v>14.15</v>
      </c>
      <c r="M90" s="55">
        <f t="shared" si="6"/>
        <v>5.2530930356686767E-4</v>
      </c>
    </row>
    <row r="91" spans="1:13" x14ac:dyDescent="0.35">
      <c r="A91" s="9">
        <v>45747</v>
      </c>
      <c r="B91" s="3">
        <v>4.7632485608000001</v>
      </c>
      <c r="C91" s="29">
        <f t="shared" si="7"/>
        <v>-5.3109825301641635E-2</v>
      </c>
      <c r="D91" s="3">
        <v>7.3905451022999999</v>
      </c>
      <c r="E91" s="48">
        <f t="shared" si="8"/>
        <v>-4.4685489338516939E-2</v>
      </c>
      <c r="F91" s="3">
        <v>27.675719867000002</v>
      </c>
      <c r="G91" s="50">
        <f t="shared" si="9"/>
        <v>-1.5837036967861845E-2</v>
      </c>
      <c r="H91" s="3">
        <v>27.038165721999999</v>
      </c>
      <c r="I91" s="52">
        <f t="shared" si="10"/>
        <v>-1.2538226226306941E-2</v>
      </c>
      <c r="J91" s="3">
        <v>130259.54</v>
      </c>
      <c r="K91" s="54">
        <f t="shared" si="11"/>
        <v>-1.2531665545888547E-2</v>
      </c>
      <c r="L91" s="3">
        <v>14.15</v>
      </c>
      <c r="M91" s="55">
        <f t="shared" si="6"/>
        <v>5.2530930356686767E-4</v>
      </c>
    </row>
    <row r="92" spans="1:13" x14ac:dyDescent="0.35">
      <c r="A92" s="9">
        <v>45748</v>
      </c>
      <c r="B92" s="3">
        <v>4.6958894901999999</v>
      </c>
      <c r="C92" s="29">
        <f t="shared" si="7"/>
        <v>-1.4242356724749593E-2</v>
      </c>
      <c r="D92" s="3">
        <v>7.3706780455000001</v>
      </c>
      <c r="E92" s="48">
        <f t="shared" si="8"/>
        <v>-2.6917916756680144E-3</v>
      </c>
      <c r="F92" s="3">
        <v>27.813165798</v>
      </c>
      <c r="G92" s="50">
        <f t="shared" si="9"/>
        <v>4.9540087336349334E-3</v>
      </c>
      <c r="H92" s="3">
        <v>27.026120517999999</v>
      </c>
      <c r="I92" s="52">
        <f t="shared" si="10"/>
        <v>-4.4558820755815563E-4</v>
      </c>
      <c r="J92" s="3">
        <v>131147.29</v>
      </c>
      <c r="K92" s="54">
        <f t="shared" si="11"/>
        <v>6.792121023551605E-3</v>
      </c>
      <c r="L92" s="3">
        <v>14.15</v>
      </c>
      <c r="M92" s="55">
        <f t="shared" si="6"/>
        <v>5.2530930356686767E-4</v>
      </c>
    </row>
    <row r="93" spans="1:13" x14ac:dyDescent="0.35">
      <c r="A93" s="9">
        <v>45749</v>
      </c>
      <c r="B93" s="3">
        <v>4.7055122145999997</v>
      </c>
      <c r="C93" s="29">
        <f t="shared" si="7"/>
        <v>2.047083629127941E-3</v>
      </c>
      <c r="D93" s="3">
        <v>7.3408774603999998</v>
      </c>
      <c r="E93" s="48">
        <f t="shared" si="8"/>
        <v>-4.0513222205923903E-3</v>
      </c>
      <c r="F93" s="3">
        <v>27.832800931000001</v>
      </c>
      <c r="G93" s="50">
        <f t="shared" si="9"/>
        <v>7.0571633378359181E-4</v>
      </c>
      <c r="H93" s="3">
        <v>27.211431341000001</v>
      </c>
      <c r="I93" s="52">
        <f t="shared" si="10"/>
        <v>6.8333299615971118E-3</v>
      </c>
      <c r="J93" s="3">
        <v>131190.34</v>
      </c>
      <c r="K93" s="54">
        <f t="shared" si="11"/>
        <v>3.2820301369971254E-4</v>
      </c>
      <c r="L93" s="3">
        <v>14.15</v>
      </c>
      <c r="M93" s="55">
        <f t="shared" si="6"/>
        <v>5.2530930356686767E-4</v>
      </c>
    </row>
    <row r="94" spans="1:13" x14ac:dyDescent="0.35">
      <c r="A94" s="9">
        <v>45750</v>
      </c>
      <c r="B94" s="3">
        <v>4.7440031120999997</v>
      </c>
      <c r="C94" s="29">
        <f t="shared" si="7"/>
        <v>8.1466845760514543E-3</v>
      </c>
      <c r="D94" s="3">
        <v>7.8971550488000002</v>
      </c>
      <c r="E94" s="48">
        <f t="shared" si="8"/>
        <v>7.3044193713875202E-2</v>
      </c>
      <c r="F94" s="3">
        <v>27.989881994000001</v>
      </c>
      <c r="G94" s="50">
        <f t="shared" si="9"/>
        <v>5.6278727345501879E-3</v>
      </c>
      <c r="H94" s="3">
        <v>27.543040181999999</v>
      </c>
      <c r="I94" s="52">
        <f t="shared" si="10"/>
        <v>1.2112723808079746E-2</v>
      </c>
      <c r="J94" s="3">
        <v>131140.65</v>
      </c>
      <c r="K94" s="54">
        <f t="shared" si="11"/>
        <v>-3.7883439233983107E-4</v>
      </c>
      <c r="L94" s="3">
        <v>14.15</v>
      </c>
      <c r="M94" s="55">
        <f t="shared" si="6"/>
        <v>5.2530930356686767E-4</v>
      </c>
    </row>
    <row r="95" spans="1:13" x14ac:dyDescent="0.35">
      <c r="A95" s="9">
        <v>45751</v>
      </c>
      <c r="B95" s="3">
        <v>4.5611713491000003</v>
      </c>
      <c r="C95" s="29">
        <f t="shared" si="7"/>
        <v>-3.9301852360554494E-2</v>
      </c>
      <c r="D95" s="3">
        <v>7.5991491979000001</v>
      </c>
      <c r="E95" s="48">
        <f t="shared" si="8"/>
        <v>-3.846628082804434E-2</v>
      </c>
      <c r="F95" s="3">
        <v>27.469550972</v>
      </c>
      <c r="G95" s="50">
        <f t="shared" si="9"/>
        <v>-1.8764933662218618E-2</v>
      </c>
      <c r="H95" s="3">
        <v>26.928588507000001</v>
      </c>
      <c r="I95" s="52">
        <f t="shared" si="10"/>
        <v>-2.2561386666330497E-2</v>
      </c>
      <c r="J95" s="3">
        <v>127256</v>
      </c>
      <c r="K95" s="54">
        <f t="shared" si="11"/>
        <v>-3.0069605762131191E-2</v>
      </c>
      <c r="L95" s="3">
        <v>14.15</v>
      </c>
      <c r="M95" s="55">
        <f t="shared" si="6"/>
        <v>5.2530930356686767E-4</v>
      </c>
    </row>
    <row r="96" spans="1:13" x14ac:dyDescent="0.35">
      <c r="A96" s="9">
        <v>45754</v>
      </c>
      <c r="B96" s="3">
        <v>4.4841895542000003</v>
      </c>
      <c r="C96" s="29">
        <f t="shared" si="7"/>
        <v>-1.7021687564631748E-2</v>
      </c>
      <c r="D96" s="3">
        <v>7.4501462723999996</v>
      </c>
      <c r="E96" s="48">
        <f t="shared" si="8"/>
        <v>-1.9802627303022676E-2</v>
      </c>
      <c r="F96" s="3">
        <v>27.175023977999999</v>
      </c>
      <c r="G96" s="50">
        <f t="shared" si="9"/>
        <v>-1.0779838488550296E-2</v>
      </c>
      <c r="H96" s="3">
        <v>26.831056494999999</v>
      </c>
      <c r="I96" s="52">
        <f t="shared" si="10"/>
        <v>-3.6284510064169178E-3</v>
      </c>
      <c r="J96" s="3">
        <v>125588.09</v>
      </c>
      <c r="K96" s="54">
        <f t="shared" si="11"/>
        <v>-1.3193380898884839E-2</v>
      </c>
      <c r="L96" s="3">
        <v>14.15</v>
      </c>
      <c r="M96" s="55">
        <f t="shared" si="6"/>
        <v>5.2530930356686767E-4</v>
      </c>
    </row>
    <row r="97" spans="1:13" x14ac:dyDescent="0.35">
      <c r="A97" s="9">
        <v>45755</v>
      </c>
      <c r="B97" s="3">
        <v>4.4168304836000001</v>
      </c>
      <c r="C97" s="29">
        <f t="shared" si="7"/>
        <v>-1.5135424074914937E-2</v>
      </c>
      <c r="D97" s="3">
        <v>7.4700133292000004</v>
      </c>
      <c r="E97" s="48">
        <f t="shared" si="8"/>
        <v>2.6631174293365624E-3</v>
      </c>
      <c r="F97" s="3">
        <v>27.125936145000001</v>
      </c>
      <c r="G97" s="50">
        <f t="shared" si="9"/>
        <v>-1.8079918388357599E-3</v>
      </c>
      <c r="H97" s="3">
        <v>26.850562897</v>
      </c>
      <c r="I97" s="52">
        <f t="shared" si="10"/>
        <v>7.2674420330348535E-4</v>
      </c>
      <c r="J97" s="3">
        <v>123931.89</v>
      </c>
      <c r="K97" s="54">
        <f t="shared" si="11"/>
        <v>-1.3275284192017657E-2</v>
      </c>
      <c r="L97" s="3">
        <v>14.15</v>
      </c>
      <c r="M97" s="55">
        <f t="shared" si="6"/>
        <v>5.2530930356686767E-4</v>
      </c>
    </row>
    <row r="98" spans="1:13" x14ac:dyDescent="0.35">
      <c r="A98" s="9">
        <v>45756</v>
      </c>
      <c r="B98" s="3">
        <v>4.5804167977999999</v>
      </c>
      <c r="C98" s="29">
        <f t="shared" si="7"/>
        <v>3.6367644169257585E-2</v>
      </c>
      <c r="D98" s="3">
        <v>7.6587503680999998</v>
      </c>
      <c r="E98" s="48">
        <f t="shared" si="8"/>
        <v>2.4952049613142367E-2</v>
      </c>
      <c r="F98" s="3">
        <v>27.243746943000001</v>
      </c>
      <c r="G98" s="50">
        <f t="shared" si="9"/>
        <v>4.3337012721832635E-3</v>
      </c>
      <c r="H98" s="3">
        <v>27.318716554000002</v>
      </c>
      <c r="I98" s="52">
        <f t="shared" si="10"/>
        <v>1.7285270099750619E-2</v>
      </c>
      <c r="J98" s="3">
        <v>127795.93</v>
      </c>
      <c r="K98" s="54">
        <f t="shared" si="11"/>
        <v>3.0702554295795069E-2</v>
      </c>
      <c r="L98" s="3">
        <v>14.15</v>
      </c>
      <c r="M98" s="55">
        <f t="shared" si="6"/>
        <v>5.2530930356686767E-4</v>
      </c>
    </row>
    <row r="99" spans="1:13" x14ac:dyDescent="0.35">
      <c r="A99" s="9">
        <v>45757</v>
      </c>
      <c r="B99" s="3">
        <v>4.5611713491000003</v>
      </c>
      <c r="C99" s="29">
        <f t="shared" si="7"/>
        <v>-4.2105325297109092E-3</v>
      </c>
      <c r="D99" s="3">
        <v>7.6190162546</v>
      </c>
      <c r="E99" s="48">
        <f t="shared" si="8"/>
        <v>-5.2015722022187216E-3</v>
      </c>
      <c r="F99" s="3">
        <v>27.057213180000002</v>
      </c>
      <c r="G99" s="50">
        <f t="shared" si="9"/>
        <v>-6.8703940524196252E-3</v>
      </c>
      <c r="H99" s="3">
        <v>27.123652530000001</v>
      </c>
      <c r="I99" s="52">
        <f t="shared" si="10"/>
        <v>-7.1659210280390663E-3</v>
      </c>
      <c r="J99" s="3">
        <v>126354.75</v>
      </c>
      <c r="K99" s="54">
        <f t="shared" si="11"/>
        <v>-1.134126768842221E-2</v>
      </c>
      <c r="L99" s="3">
        <v>14.15</v>
      </c>
      <c r="M99" s="55">
        <f t="shared" si="6"/>
        <v>5.2530930356686767E-4</v>
      </c>
    </row>
    <row r="100" spans="1:13" x14ac:dyDescent="0.35">
      <c r="A100" s="9">
        <v>45758</v>
      </c>
      <c r="B100" s="3">
        <v>4.5034350028999999</v>
      </c>
      <c r="C100" s="29">
        <f t="shared" si="7"/>
        <v>-1.27390257793974E-2</v>
      </c>
      <c r="D100" s="3">
        <v>7.8176868218999997</v>
      </c>
      <c r="E100" s="48">
        <f t="shared" si="8"/>
        <v>2.5741447054666456E-2</v>
      </c>
      <c r="F100" s="3">
        <v>27.292834774999999</v>
      </c>
      <c r="G100" s="50">
        <f t="shared" si="9"/>
        <v>8.6705745444861614E-3</v>
      </c>
      <c r="H100" s="3">
        <v>27.455261370999999</v>
      </c>
      <c r="I100" s="52">
        <f t="shared" si="10"/>
        <v>1.2151686350316547E-2</v>
      </c>
      <c r="J100" s="3">
        <v>127682.4</v>
      </c>
      <c r="K100" s="54">
        <f t="shared" si="11"/>
        <v>1.0452503404789077E-2</v>
      </c>
      <c r="L100" s="3">
        <v>14.15</v>
      </c>
      <c r="M100" s="55">
        <f t="shared" si="6"/>
        <v>5.2530930356686767E-4</v>
      </c>
    </row>
    <row r="101" spans="1:13" x14ac:dyDescent="0.35">
      <c r="A101" s="9">
        <v>45761</v>
      </c>
      <c r="B101" s="3">
        <v>4.4938122786000001</v>
      </c>
      <c r="C101" s="29">
        <f t="shared" si="7"/>
        <v>-2.1390382342470066E-3</v>
      </c>
      <c r="D101" s="3">
        <v>7.8375538785999996</v>
      </c>
      <c r="E101" s="48">
        <f t="shared" si="8"/>
        <v>2.5380724250826433E-3</v>
      </c>
      <c r="F101" s="3">
        <v>27.557909070000001</v>
      </c>
      <c r="G101" s="50">
        <f t="shared" si="9"/>
        <v>9.6653696925369566E-3</v>
      </c>
      <c r="H101" s="3">
        <v>27.825883016999999</v>
      </c>
      <c r="I101" s="52">
        <f t="shared" si="10"/>
        <v>1.3408810657480182E-2</v>
      </c>
      <c r="J101" s="3">
        <v>129453.91</v>
      </c>
      <c r="K101" s="54">
        <f t="shared" si="11"/>
        <v>1.3778979936319088E-2</v>
      </c>
      <c r="L101" s="3">
        <v>14.15</v>
      </c>
      <c r="M101" s="55">
        <f t="shared" si="6"/>
        <v>5.2530930356686767E-4</v>
      </c>
    </row>
    <row r="102" spans="1:13" x14ac:dyDescent="0.35">
      <c r="A102" s="9">
        <v>45762</v>
      </c>
      <c r="B102" s="3">
        <v>4.7151349390000004</v>
      </c>
      <c r="C102" s="29">
        <f t="shared" si="7"/>
        <v>4.8076133435320988E-2</v>
      </c>
      <c r="D102" s="3">
        <v>7.8276203502000001</v>
      </c>
      <c r="E102" s="48">
        <f t="shared" si="8"/>
        <v>-1.2682309926906981E-3</v>
      </c>
      <c r="F102" s="3">
        <v>27.263382075999999</v>
      </c>
      <c r="G102" s="50">
        <f t="shared" si="9"/>
        <v>-1.074508905584084E-2</v>
      </c>
      <c r="H102" s="3">
        <v>28.040453443000001</v>
      </c>
      <c r="I102" s="52">
        <f t="shared" si="10"/>
        <v>7.6816020055007362E-3</v>
      </c>
      <c r="J102" s="3">
        <v>129245.39</v>
      </c>
      <c r="K102" s="54">
        <f t="shared" si="11"/>
        <v>-1.6120650126047928E-3</v>
      </c>
      <c r="L102" s="3">
        <v>14.15</v>
      </c>
      <c r="M102" s="55">
        <f t="shared" si="6"/>
        <v>5.2530930356686767E-4</v>
      </c>
    </row>
    <row r="103" spans="1:13" x14ac:dyDescent="0.35">
      <c r="A103" s="9">
        <v>45763</v>
      </c>
      <c r="B103" s="3">
        <v>4.7728712851999999</v>
      </c>
      <c r="C103" s="29">
        <f t="shared" si="7"/>
        <v>1.2170535621965455E-2</v>
      </c>
      <c r="D103" s="3">
        <v>7.7580856517000001</v>
      </c>
      <c r="E103" s="48">
        <f t="shared" si="8"/>
        <v>-8.9229400127297347E-3</v>
      </c>
      <c r="F103" s="3">
        <v>27.145571277999998</v>
      </c>
      <c r="G103" s="50">
        <f t="shared" si="9"/>
        <v>-4.3305733654075826E-3</v>
      </c>
      <c r="H103" s="3">
        <v>27.952674632000001</v>
      </c>
      <c r="I103" s="52">
        <f t="shared" si="10"/>
        <v>-3.1353448512724739E-3</v>
      </c>
      <c r="J103" s="3">
        <v>128316.89</v>
      </c>
      <c r="K103" s="54">
        <f t="shared" si="11"/>
        <v>-7.2099379008211837E-3</v>
      </c>
      <c r="L103" s="3">
        <v>14.15</v>
      </c>
      <c r="M103" s="55">
        <f t="shared" si="6"/>
        <v>5.2530930356686767E-4</v>
      </c>
    </row>
    <row r="104" spans="1:13" x14ac:dyDescent="0.35">
      <c r="A104" s="9">
        <v>45764</v>
      </c>
      <c r="B104" s="3">
        <v>4.8979667018999997</v>
      </c>
      <c r="C104" s="29">
        <f t="shared" si="7"/>
        <v>2.5872089815551558E-2</v>
      </c>
      <c r="D104" s="3">
        <v>7.847487407</v>
      </c>
      <c r="E104" s="48">
        <f t="shared" si="8"/>
        <v>1.1457795625297066E-2</v>
      </c>
      <c r="F104" s="3">
        <v>26.929584815999998</v>
      </c>
      <c r="G104" s="50">
        <f t="shared" si="9"/>
        <v>-7.9884230096189755E-3</v>
      </c>
      <c r="H104" s="3">
        <v>27.962427833</v>
      </c>
      <c r="I104" s="52">
        <f t="shared" si="10"/>
        <v>3.4885748819010591E-4</v>
      </c>
      <c r="J104" s="3">
        <v>129650.03</v>
      </c>
      <c r="K104" s="54">
        <f t="shared" si="11"/>
        <v>1.0335835836644824E-2</v>
      </c>
      <c r="L104" s="3">
        <v>14.15</v>
      </c>
      <c r="M104" s="55">
        <f t="shared" si="6"/>
        <v>5.2530930356686767E-4</v>
      </c>
    </row>
    <row r="105" spans="1:13" x14ac:dyDescent="0.35">
      <c r="A105" s="9">
        <v>45769</v>
      </c>
      <c r="B105" s="3">
        <v>4.8113621825999999</v>
      </c>
      <c r="C105" s="29">
        <f t="shared" si="7"/>
        <v>-1.7839918131025985E-2</v>
      </c>
      <c r="D105" s="3">
        <v>8.0064238608</v>
      </c>
      <c r="E105" s="48">
        <f t="shared" si="8"/>
        <v>2.0050797043980089E-2</v>
      </c>
      <c r="F105" s="3">
        <v>27.273199642000002</v>
      </c>
      <c r="G105" s="50">
        <f t="shared" si="9"/>
        <v>1.2679032365430833E-2</v>
      </c>
      <c r="H105" s="3">
        <v>28.440334692</v>
      </c>
      <c r="I105" s="52">
        <f t="shared" si="10"/>
        <v>1.6946627256658166E-2</v>
      </c>
      <c r="J105" s="3">
        <v>130464.38</v>
      </c>
      <c r="K105" s="54">
        <f t="shared" si="11"/>
        <v>6.2614959366375025E-3</v>
      </c>
      <c r="L105" s="3">
        <v>14.15</v>
      </c>
      <c r="M105" s="55">
        <f t="shared" si="6"/>
        <v>5.2530930356686767E-4</v>
      </c>
    </row>
    <row r="106" spans="1:13" x14ac:dyDescent="0.35">
      <c r="A106" s="9">
        <v>45770</v>
      </c>
      <c r="B106" s="3">
        <v>4.9653257725</v>
      </c>
      <c r="C106" s="29">
        <f t="shared" si="7"/>
        <v>3.1498667070810407E-2</v>
      </c>
      <c r="D106" s="3">
        <v>8.2845626550000002</v>
      </c>
      <c r="E106" s="48">
        <f t="shared" si="8"/>
        <v>3.4149659855533122E-2</v>
      </c>
      <c r="F106" s="3">
        <v>27.528456370000001</v>
      </c>
      <c r="G106" s="50">
        <f t="shared" si="9"/>
        <v>9.3157248361641545E-3</v>
      </c>
      <c r="H106" s="3">
        <v>28.986513959</v>
      </c>
      <c r="I106" s="52">
        <f t="shared" si="10"/>
        <v>1.9022312706971488E-2</v>
      </c>
      <c r="J106" s="3">
        <v>132216.07</v>
      </c>
      <c r="K106" s="54">
        <f t="shared" si="11"/>
        <v>1.3337238961570547E-2</v>
      </c>
      <c r="L106" s="3">
        <v>14.15</v>
      </c>
      <c r="M106" s="55">
        <f t="shared" si="6"/>
        <v>5.2530930356686767E-4</v>
      </c>
    </row>
    <row r="107" spans="1:13" x14ac:dyDescent="0.35">
      <c r="A107" s="9">
        <v>45771</v>
      </c>
      <c r="B107" s="3">
        <v>4.9845712212000004</v>
      </c>
      <c r="C107" s="29">
        <f t="shared" si="7"/>
        <v>3.8684767717775187E-3</v>
      </c>
      <c r="D107" s="3">
        <v>8.5229673357000006</v>
      </c>
      <c r="E107" s="48">
        <f t="shared" si="8"/>
        <v>2.837069712693658E-2</v>
      </c>
      <c r="F107" s="3">
        <v>27.194659111</v>
      </c>
      <c r="G107" s="50">
        <f t="shared" si="9"/>
        <v>-1.2199648942357161E-2</v>
      </c>
      <c r="H107" s="3">
        <v>29.630225238000001</v>
      </c>
      <c r="I107" s="52">
        <f t="shared" si="10"/>
        <v>2.1964277316864636E-2</v>
      </c>
      <c r="J107" s="3">
        <v>134580.43</v>
      </c>
      <c r="K107" s="54">
        <f t="shared" si="11"/>
        <v>1.7724534605578973E-2</v>
      </c>
      <c r="L107" s="3">
        <v>14.15</v>
      </c>
      <c r="M107" s="55">
        <f t="shared" si="6"/>
        <v>5.2530930356686767E-4</v>
      </c>
    </row>
    <row r="108" spans="1:13" x14ac:dyDescent="0.35">
      <c r="A108" s="9">
        <v>45772</v>
      </c>
      <c r="B108" s="3">
        <v>5.0904211891999998</v>
      </c>
      <c r="C108" s="29">
        <f t="shared" si="7"/>
        <v>2.1013189595327116E-2</v>
      </c>
      <c r="D108" s="3">
        <v>8.8699999999999992</v>
      </c>
      <c r="E108" s="48">
        <f t="shared" si="8"/>
        <v>3.991023727723185E-2</v>
      </c>
      <c r="F108" s="3">
        <v>27.499003671000001</v>
      </c>
      <c r="G108" s="50">
        <f t="shared" si="9"/>
        <v>1.1129176062432231E-2</v>
      </c>
      <c r="H108" s="3">
        <v>29.513186824000002</v>
      </c>
      <c r="I108" s="52">
        <f t="shared" si="10"/>
        <v>-3.9577887948808359E-3</v>
      </c>
      <c r="J108" s="3">
        <v>134739.28</v>
      </c>
      <c r="K108" s="54">
        <f t="shared" si="11"/>
        <v>1.17963901283435E-3</v>
      </c>
      <c r="L108" s="3">
        <v>14.15</v>
      </c>
      <c r="M108" s="55">
        <f t="shared" si="6"/>
        <v>5.2530930356686767E-4</v>
      </c>
    </row>
    <row r="109" spans="1:13" x14ac:dyDescent="0.35">
      <c r="A109" s="9">
        <v>45775</v>
      </c>
      <c r="B109" s="3">
        <v>5.1481575354000002</v>
      </c>
      <c r="C109" s="29">
        <f t="shared" si="7"/>
        <v>1.1278315039396304E-2</v>
      </c>
      <c r="D109" s="3">
        <v>8.85</v>
      </c>
      <c r="E109" s="48">
        <f t="shared" si="8"/>
        <v>-2.2573373016499389E-3</v>
      </c>
      <c r="F109" s="3">
        <v>27.832800931000001</v>
      </c>
      <c r="G109" s="50">
        <f t="shared" si="9"/>
        <v>1.2065440907464878E-2</v>
      </c>
      <c r="H109" s="3">
        <v>29.835042463000001</v>
      </c>
      <c r="I109" s="52">
        <f t="shared" si="10"/>
        <v>1.0846449785123299E-2</v>
      </c>
      <c r="J109" s="3">
        <v>135015.89000000001</v>
      </c>
      <c r="K109" s="54">
        <f t="shared" si="11"/>
        <v>2.0508233221181687E-3</v>
      </c>
      <c r="L109" s="3">
        <v>14.15</v>
      </c>
      <c r="M109" s="55">
        <f t="shared" si="6"/>
        <v>5.2530930356686767E-4</v>
      </c>
    </row>
    <row r="110" spans="1:13" x14ac:dyDescent="0.35">
      <c r="A110" s="9">
        <v>45776</v>
      </c>
      <c r="B110" s="3">
        <v>5.1096666379000002</v>
      </c>
      <c r="C110" s="29">
        <f t="shared" si="7"/>
        <v>-7.5047256617131186E-3</v>
      </c>
      <c r="D110" s="3">
        <v>8.7899999999999991</v>
      </c>
      <c r="E110" s="48">
        <f t="shared" si="8"/>
        <v>-6.8027473227525231E-3</v>
      </c>
      <c r="F110" s="3">
        <v>27.980064427999999</v>
      </c>
      <c r="G110" s="50">
        <f t="shared" si="9"/>
        <v>5.2770571012219596E-3</v>
      </c>
      <c r="H110" s="3">
        <v>30.039859689</v>
      </c>
      <c r="I110" s="52">
        <f t="shared" si="10"/>
        <v>6.8415318451303959E-3</v>
      </c>
      <c r="J110" s="3">
        <v>135092.99</v>
      </c>
      <c r="K110" s="54">
        <f t="shared" si="11"/>
        <v>5.7088091360735173E-4</v>
      </c>
      <c r="L110" s="3">
        <v>14.15</v>
      </c>
      <c r="M110" s="55">
        <f t="shared" si="6"/>
        <v>5.2530930356686767E-4</v>
      </c>
    </row>
    <row r="111" spans="1:13" x14ac:dyDescent="0.35">
      <c r="A111" s="9">
        <v>45777</v>
      </c>
      <c r="B111" s="3">
        <v>5.2540075033999996</v>
      </c>
      <c r="C111" s="29">
        <f t="shared" si="7"/>
        <v>2.7856954507267245E-2</v>
      </c>
      <c r="D111" s="3">
        <v>8.93</v>
      </c>
      <c r="E111" s="48">
        <f t="shared" si="8"/>
        <v>1.5801683191322136E-2</v>
      </c>
      <c r="F111" s="3">
        <v>28.402219786</v>
      </c>
      <c r="G111" s="50">
        <f t="shared" si="9"/>
        <v>1.4975031712154072E-2</v>
      </c>
      <c r="H111" s="3">
        <v>30.312949322000001</v>
      </c>
      <c r="I111" s="52">
        <f t="shared" si="10"/>
        <v>9.0498355022236611E-3</v>
      </c>
      <c r="J111" s="3">
        <v>135066.97</v>
      </c>
      <c r="K111" s="54">
        <f t="shared" si="11"/>
        <v>-1.926266207653206E-4</v>
      </c>
      <c r="L111" s="3">
        <v>14.15</v>
      </c>
      <c r="M111" s="55">
        <f t="shared" si="6"/>
        <v>5.2530930356686767E-4</v>
      </c>
    </row>
    <row r="112" spans="1:13" x14ac:dyDescent="0.35">
      <c r="A112" s="9">
        <v>45779</v>
      </c>
      <c r="B112" s="3">
        <v>5.3077694406999996</v>
      </c>
      <c r="C112" s="29">
        <f t="shared" si="7"/>
        <v>1.0180559942650564E-2</v>
      </c>
      <c r="D112" s="3">
        <v>8.99</v>
      </c>
      <c r="E112" s="48">
        <f t="shared" si="8"/>
        <v>6.696453595121294E-3</v>
      </c>
      <c r="F112" s="3">
        <v>28.372767086</v>
      </c>
      <c r="G112" s="50">
        <f t="shared" si="9"/>
        <v>-1.037523890879884E-3</v>
      </c>
      <c r="H112" s="3">
        <v>30.642453282000002</v>
      </c>
      <c r="I112" s="52">
        <f t="shared" si="10"/>
        <v>1.0811418035858038E-2</v>
      </c>
      <c r="J112" s="3">
        <v>135133.88</v>
      </c>
      <c r="K112" s="54">
        <f t="shared" si="11"/>
        <v>4.9526122044146238E-4</v>
      </c>
      <c r="L112" s="3">
        <v>14.15</v>
      </c>
      <c r="M112" s="55">
        <f t="shared" si="6"/>
        <v>5.2530930356686767E-4</v>
      </c>
    </row>
    <row r="113" spans="1:13" x14ac:dyDescent="0.35">
      <c r="A113" s="9">
        <v>45782</v>
      </c>
      <c r="B113" s="3">
        <v>5.3273192360000001</v>
      </c>
      <c r="C113" s="29">
        <f t="shared" si="7"/>
        <v>3.676474717727913E-3</v>
      </c>
      <c r="D113" s="3">
        <v>8.93</v>
      </c>
      <c r="E113" s="48">
        <f t="shared" si="8"/>
        <v>-6.6964535951212975E-3</v>
      </c>
      <c r="F113" s="3">
        <v>28.588753549</v>
      </c>
      <c r="G113" s="50">
        <f t="shared" si="9"/>
        <v>7.5836282364598294E-3</v>
      </c>
      <c r="H113" s="3">
        <v>30.066687439999999</v>
      </c>
      <c r="I113" s="52">
        <f t="shared" si="10"/>
        <v>-1.8968580308194555E-2</v>
      </c>
      <c r="J113" s="3">
        <v>133491.23000000001</v>
      </c>
      <c r="K113" s="54">
        <f t="shared" si="11"/>
        <v>-1.2230207930342065E-2</v>
      </c>
      <c r="L113" s="3">
        <v>14.15</v>
      </c>
      <c r="M113" s="55">
        <f t="shared" si="6"/>
        <v>5.2530930356686767E-4</v>
      </c>
    </row>
    <row r="114" spans="1:13" x14ac:dyDescent="0.35">
      <c r="A114" s="9">
        <v>45783</v>
      </c>
      <c r="B114" s="3">
        <v>5.2002455661999996</v>
      </c>
      <c r="C114" s="29">
        <f t="shared" si="7"/>
        <v>-2.4142305312073058E-2</v>
      </c>
      <c r="D114" s="3">
        <v>8.8000000000000007</v>
      </c>
      <c r="E114" s="48">
        <f t="shared" si="8"/>
        <v>-1.466467340424674E-2</v>
      </c>
      <c r="F114" s="3">
        <v>28.372767086</v>
      </c>
      <c r="G114" s="50">
        <f t="shared" si="9"/>
        <v>-7.5836282364599465E-3</v>
      </c>
      <c r="H114" s="3">
        <v>30.008134982000001</v>
      </c>
      <c r="I114" s="52">
        <f t="shared" si="10"/>
        <v>-1.9493183393712666E-3</v>
      </c>
      <c r="J114" s="3">
        <v>133515.82</v>
      </c>
      <c r="K114" s="54">
        <f t="shared" si="11"/>
        <v>1.8418989363412001E-4</v>
      </c>
      <c r="L114" s="3">
        <v>14.15</v>
      </c>
      <c r="M114" s="55">
        <f t="shared" si="6"/>
        <v>5.2530930356686767E-4</v>
      </c>
    </row>
    <row r="115" spans="1:13" x14ac:dyDescent="0.35">
      <c r="A115" s="9">
        <v>45784</v>
      </c>
      <c r="B115" s="3">
        <v>5.1709208731</v>
      </c>
      <c r="C115" s="29">
        <f t="shared" si="7"/>
        <v>-5.6550574944684217E-3</v>
      </c>
      <c r="D115" s="3">
        <v>8.6999999999999993</v>
      </c>
      <c r="E115" s="48">
        <f t="shared" si="8"/>
        <v>-1.1428695823622968E-2</v>
      </c>
      <c r="F115" s="3">
        <v>28.775287312</v>
      </c>
      <c r="G115" s="50">
        <f t="shared" si="9"/>
        <v>1.4087159635847701E-2</v>
      </c>
      <c r="H115" s="3">
        <v>30.242344815999999</v>
      </c>
      <c r="I115" s="52">
        <f t="shared" si="10"/>
        <v>7.7745775469363352E-3</v>
      </c>
      <c r="J115" s="3">
        <v>133397.51999999999</v>
      </c>
      <c r="K115" s="54">
        <f t="shared" si="11"/>
        <v>-8.8643008810487974E-4</v>
      </c>
      <c r="L115" s="3">
        <v>14.15</v>
      </c>
      <c r="M115" s="55">
        <f t="shared" si="6"/>
        <v>5.2530930356686767E-4</v>
      </c>
    </row>
    <row r="116" spans="1:13" x14ac:dyDescent="0.35">
      <c r="A116" s="9">
        <v>45785</v>
      </c>
      <c r="B116" s="3">
        <v>5.2197953615000001</v>
      </c>
      <c r="C116" s="29">
        <f t="shared" si="7"/>
        <v>9.4074071012072748E-3</v>
      </c>
      <c r="D116" s="3">
        <v>9.31</v>
      </c>
      <c r="E116" s="48">
        <f t="shared" si="8"/>
        <v>6.776606562843776E-2</v>
      </c>
      <c r="F116" s="3">
        <v>28.873462975999999</v>
      </c>
      <c r="G116" s="50">
        <f t="shared" si="9"/>
        <v>3.4059978202259063E-3</v>
      </c>
      <c r="H116" s="3">
        <v>30.544865851000001</v>
      </c>
      <c r="I116" s="52">
        <f t="shared" si="10"/>
        <v>9.9535257271074276E-3</v>
      </c>
      <c r="J116" s="3">
        <v>136231.9</v>
      </c>
      <c r="K116" s="54">
        <f t="shared" si="11"/>
        <v>2.1025038078039369E-2</v>
      </c>
      <c r="L116" s="3">
        <v>14.65</v>
      </c>
      <c r="M116" s="55">
        <f t="shared" si="6"/>
        <v>5.4266235986011324E-4</v>
      </c>
    </row>
    <row r="117" spans="1:13" x14ac:dyDescent="0.35">
      <c r="A117" s="9">
        <v>45786</v>
      </c>
      <c r="B117" s="3">
        <v>5.3468690313999998</v>
      </c>
      <c r="C117" s="29">
        <f t="shared" si="7"/>
        <v>2.4052963471277698E-2</v>
      </c>
      <c r="D117" s="3">
        <v>9.23</v>
      </c>
      <c r="E117" s="48">
        <f t="shared" si="8"/>
        <v>-8.6300427742149275E-3</v>
      </c>
      <c r="F117" s="3">
        <v>28.991273774</v>
      </c>
      <c r="G117" s="50">
        <f t="shared" si="9"/>
        <v>4.0719432040720697E-3</v>
      </c>
      <c r="H117" s="3">
        <v>31.998918571000001</v>
      </c>
      <c r="I117" s="52">
        <f t="shared" si="10"/>
        <v>4.6505493328431152E-2</v>
      </c>
      <c r="J117" s="3">
        <v>136511.88</v>
      </c>
      <c r="K117" s="54">
        <f t="shared" si="11"/>
        <v>2.0530631227928232E-3</v>
      </c>
      <c r="L117" s="3">
        <v>14.65</v>
      </c>
      <c r="M117" s="55">
        <f t="shared" si="6"/>
        <v>5.4266235986011324E-4</v>
      </c>
    </row>
    <row r="118" spans="1:13" x14ac:dyDescent="0.35">
      <c r="A118" s="9">
        <v>45789</v>
      </c>
      <c r="B118" s="3">
        <v>5.1806957707999999</v>
      </c>
      <c r="C118" s="29">
        <f t="shared" si="7"/>
        <v>-3.1571795880895086E-2</v>
      </c>
      <c r="D118" s="3">
        <v>9.14</v>
      </c>
      <c r="E118" s="48">
        <f t="shared" si="8"/>
        <v>-9.7986630487021005E-3</v>
      </c>
      <c r="F118" s="3">
        <v>28.539665715999998</v>
      </c>
      <c r="G118" s="50">
        <f t="shared" si="9"/>
        <v>-1.5699981204862237E-2</v>
      </c>
      <c r="H118" s="3">
        <v>31.569533875000001</v>
      </c>
      <c r="I118" s="52">
        <f t="shared" si="10"/>
        <v>-1.3509569919887186E-2</v>
      </c>
      <c r="J118" s="3">
        <v>136563.18</v>
      </c>
      <c r="K118" s="54">
        <f t="shared" si="11"/>
        <v>3.7572087764781934E-4</v>
      </c>
      <c r="L118" s="3">
        <v>14.65</v>
      </c>
      <c r="M118" s="55">
        <f t="shared" si="6"/>
        <v>5.4266235986011324E-4</v>
      </c>
    </row>
    <row r="119" spans="1:13" x14ac:dyDescent="0.35">
      <c r="A119" s="9">
        <v>45790</v>
      </c>
      <c r="B119" s="3">
        <v>5.3175443383000003</v>
      </c>
      <c r="C119" s="29">
        <f t="shared" si="7"/>
        <v>2.6072240304026995E-2</v>
      </c>
      <c r="D119" s="3">
        <v>9.3800000000000008</v>
      </c>
      <c r="E119" s="48">
        <f t="shared" si="8"/>
        <v>2.5919377552074713E-2</v>
      </c>
      <c r="F119" s="3">
        <v>29.118902137999999</v>
      </c>
      <c r="G119" s="50">
        <f t="shared" si="9"/>
        <v>2.0092622156839952E-2</v>
      </c>
      <c r="H119" s="3">
        <v>31.940366112</v>
      </c>
      <c r="I119" s="52">
        <f t="shared" si="10"/>
        <v>1.167806756080823E-2</v>
      </c>
      <c r="J119" s="3">
        <v>138963.10999999999</v>
      </c>
      <c r="K119" s="54">
        <f t="shared" si="11"/>
        <v>1.7421137541025405E-2</v>
      </c>
      <c r="L119" s="3">
        <v>14.65</v>
      </c>
      <c r="M119" s="55">
        <f t="shared" si="6"/>
        <v>5.4266235986011324E-4</v>
      </c>
    </row>
    <row r="120" spans="1:13" x14ac:dyDescent="0.35">
      <c r="A120" s="9">
        <v>45791</v>
      </c>
      <c r="B120" s="3">
        <v>5.4152933150999996</v>
      </c>
      <c r="C120" s="29">
        <f t="shared" si="7"/>
        <v>1.8215439890051213E-2</v>
      </c>
      <c r="D120" s="3">
        <v>9.52</v>
      </c>
      <c r="E120" s="48">
        <f t="shared" si="8"/>
        <v>1.4815085785140463E-2</v>
      </c>
      <c r="F120" s="3">
        <v>29.217077802999999</v>
      </c>
      <c r="G120" s="50">
        <f t="shared" si="9"/>
        <v>3.3658732667600192E-3</v>
      </c>
      <c r="H120" s="3">
        <v>32.145299717</v>
      </c>
      <c r="I120" s="52">
        <f t="shared" si="10"/>
        <v>6.3956362441323347E-3</v>
      </c>
      <c r="J120" s="3">
        <v>138422.84</v>
      </c>
      <c r="K120" s="54">
        <f t="shared" si="11"/>
        <v>-3.8954437540396967E-3</v>
      </c>
      <c r="L120" s="3">
        <v>14.65</v>
      </c>
      <c r="M120" s="55">
        <f t="shared" si="6"/>
        <v>5.4266235986011324E-4</v>
      </c>
    </row>
    <row r="121" spans="1:13" x14ac:dyDescent="0.35">
      <c r="A121" s="9">
        <v>45792</v>
      </c>
      <c r="B121" s="3">
        <v>5.5521418827</v>
      </c>
      <c r="C121" s="29">
        <f t="shared" si="7"/>
        <v>2.4956731986546864E-2</v>
      </c>
      <c r="D121" s="3">
        <v>9.4499999999999993</v>
      </c>
      <c r="E121" s="48">
        <f t="shared" si="8"/>
        <v>-7.3801072976226456E-3</v>
      </c>
      <c r="F121" s="3">
        <v>28.86364541</v>
      </c>
      <c r="G121" s="50">
        <f t="shared" si="9"/>
        <v>-1.2170535627938607E-2</v>
      </c>
      <c r="H121" s="3">
        <v>32.584443155999999</v>
      </c>
      <c r="I121" s="52">
        <f t="shared" si="10"/>
        <v>1.356872921353168E-2</v>
      </c>
      <c r="J121" s="3">
        <v>139334.38</v>
      </c>
      <c r="K121" s="54">
        <f t="shared" si="11"/>
        <v>6.5635973206225051E-3</v>
      </c>
      <c r="L121" s="3">
        <v>14.65</v>
      </c>
      <c r="M121" s="55">
        <f t="shared" si="6"/>
        <v>5.4266235986011324E-4</v>
      </c>
    </row>
    <row r="122" spans="1:13" x14ac:dyDescent="0.35">
      <c r="A122" s="9">
        <v>45793</v>
      </c>
      <c r="B122" s="3">
        <v>5.5619167803999998</v>
      </c>
      <c r="C122" s="29">
        <f t="shared" si="7"/>
        <v>1.7590154086298965E-3</v>
      </c>
      <c r="D122" s="3">
        <v>9.4600000000000009</v>
      </c>
      <c r="E122" s="48">
        <f t="shared" si="8"/>
        <v>1.0576415581356672E-3</v>
      </c>
      <c r="F122" s="3">
        <v>25.201693118000001</v>
      </c>
      <c r="G122" s="50">
        <f t="shared" si="9"/>
        <v>-0.13567167946900996</v>
      </c>
      <c r="H122" s="3">
        <v>32.808894246999998</v>
      </c>
      <c r="I122" s="52">
        <f t="shared" si="10"/>
        <v>6.8646740272889622E-3</v>
      </c>
      <c r="J122" s="3">
        <v>139187.39000000001</v>
      </c>
      <c r="K122" s="54">
        <f t="shared" si="11"/>
        <v>-1.0555010737334982E-3</v>
      </c>
      <c r="L122" s="3">
        <v>14.65</v>
      </c>
      <c r="M122" s="55">
        <f t="shared" si="6"/>
        <v>5.4266235986011324E-4</v>
      </c>
    </row>
    <row r="123" spans="1:13" x14ac:dyDescent="0.35">
      <c r="A123" s="9">
        <v>45796</v>
      </c>
      <c r="B123" s="3">
        <v>5.6205661663999997</v>
      </c>
      <c r="C123" s="29">
        <f t="shared" si="7"/>
        <v>1.0489606655885485E-2</v>
      </c>
      <c r="D123" s="3">
        <v>9.52</v>
      </c>
      <c r="E123" s="48">
        <f t="shared" si="8"/>
        <v>6.3224657394868877E-3</v>
      </c>
      <c r="F123" s="3">
        <v>24.583186431000001</v>
      </c>
      <c r="G123" s="50">
        <f t="shared" si="9"/>
        <v>-2.4848448636810117E-2</v>
      </c>
      <c r="H123" s="3">
        <v>33.150450255000003</v>
      </c>
      <c r="I123" s="52">
        <f t="shared" si="10"/>
        <v>1.0356654194275207E-2</v>
      </c>
      <c r="J123" s="3">
        <v>139636.41</v>
      </c>
      <c r="K123" s="54">
        <f t="shared" si="11"/>
        <v>3.2208182240209002E-3</v>
      </c>
      <c r="L123" s="3">
        <v>14.65</v>
      </c>
      <c r="M123" s="55">
        <f t="shared" si="6"/>
        <v>5.4266235986011324E-4</v>
      </c>
    </row>
    <row r="124" spans="1:13" x14ac:dyDescent="0.35">
      <c r="A124" s="9">
        <v>45797</v>
      </c>
      <c r="B124" s="3">
        <v>5.6303410640999996</v>
      </c>
      <c r="C124" s="29">
        <f t="shared" si="7"/>
        <v>1.737619901969501E-3</v>
      </c>
      <c r="D124" s="3">
        <v>9.57</v>
      </c>
      <c r="E124" s="48">
        <f t="shared" si="8"/>
        <v>5.2383566615889308E-3</v>
      </c>
      <c r="F124" s="3">
        <v>25.034794487999999</v>
      </c>
      <c r="G124" s="50">
        <f t="shared" si="9"/>
        <v>1.8203905914967105E-2</v>
      </c>
      <c r="H124" s="3">
        <v>33.130932768999998</v>
      </c>
      <c r="I124" s="52">
        <f t="shared" si="10"/>
        <v>-5.8892816274071225E-4</v>
      </c>
      <c r="J124" s="3">
        <v>140109.63</v>
      </c>
      <c r="K124" s="54">
        <f t="shared" si="11"/>
        <v>3.3832146569687921E-3</v>
      </c>
      <c r="L124" s="3">
        <v>14.65</v>
      </c>
      <c r="M124" s="55">
        <f t="shared" si="6"/>
        <v>5.4266235986011324E-4</v>
      </c>
    </row>
    <row r="125" spans="1:13" x14ac:dyDescent="0.35">
      <c r="A125" s="9">
        <v>45798</v>
      </c>
      <c r="B125" s="3">
        <v>5.3761937244000002</v>
      </c>
      <c r="C125" s="29">
        <f t="shared" si="7"/>
        <v>-4.6189382469568295E-2</v>
      </c>
      <c r="D125" s="3">
        <v>9.4499999999999993</v>
      </c>
      <c r="E125" s="48">
        <f t="shared" si="8"/>
        <v>-1.2618463959211575E-2</v>
      </c>
      <c r="F125" s="3">
        <v>24.799172893000001</v>
      </c>
      <c r="G125" s="50">
        <f t="shared" si="9"/>
        <v>-9.4563352347295394E-3</v>
      </c>
      <c r="H125" s="3">
        <v>32.574684413</v>
      </c>
      <c r="I125" s="52">
        <f t="shared" si="10"/>
        <v>-1.693193577813238E-2</v>
      </c>
      <c r="J125" s="3">
        <v>137881.26999999999</v>
      </c>
      <c r="K125" s="54">
        <f t="shared" si="11"/>
        <v>-1.6032235083130321E-2</v>
      </c>
      <c r="L125" s="3">
        <v>14.65</v>
      </c>
      <c r="M125" s="55">
        <f t="shared" si="6"/>
        <v>5.4266235986011324E-4</v>
      </c>
    </row>
    <row r="126" spans="1:13" x14ac:dyDescent="0.35">
      <c r="A126" s="9">
        <v>45799</v>
      </c>
      <c r="B126" s="3">
        <v>5.4348431105000001</v>
      </c>
      <c r="C126" s="29">
        <f t="shared" si="7"/>
        <v>1.0850016026942797E-2</v>
      </c>
      <c r="D126" s="3">
        <v>9.39</v>
      </c>
      <c r="E126" s="48">
        <f t="shared" si="8"/>
        <v>-6.3694482854797117E-3</v>
      </c>
      <c r="F126" s="3">
        <v>24.593003997</v>
      </c>
      <c r="G126" s="50">
        <f t="shared" si="9"/>
        <v>-8.348289400212117E-3</v>
      </c>
      <c r="H126" s="3">
        <v>32.399027037000003</v>
      </c>
      <c r="I126" s="52">
        <f t="shared" si="10"/>
        <v>-5.4070423265399131E-3</v>
      </c>
      <c r="J126" s="3">
        <v>137272.59</v>
      </c>
      <c r="K126" s="54">
        <f t="shared" si="11"/>
        <v>-4.4242955041809565E-3</v>
      </c>
      <c r="L126" s="3">
        <v>14.65</v>
      </c>
      <c r="M126" s="55">
        <f t="shared" si="6"/>
        <v>5.4266235986011324E-4</v>
      </c>
    </row>
    <row r="127" spans="1:13" x14ac:dyDescent="0.35">
      <c r="A127" s="9">
        <v>45800</v>
      </c>
      <c r="B127" s="3">
        <v>5.4348431105000001</v>
      </c>
      <c r="C127" s="29">
        <f t="shared" si="7"/>
        <v>0</v>
      </c>
      <c r="D127" s="3">
        <v>9.48</v>
      </c>
      <c r="E127" s="48">
        <f t="shared" si="8"/>
        <v>9.5390230467589099E-3</v>
      </c>
      <c r="F127" s="3">
        <v>23.97449731</v>
      </c>
      <c r="G127" s="50">
        <f t="shared" si="9"/>
        <v>-2.5471358833728825E-2</v>
      </c>
      <c r="H127" s="3">
        <v>32.496614467999997</v>
      </c>
      <c r="I127" s="52">
        <f t="shared" si="10"/>
        <v>3.007521069052989E-3</v>
      </c>
      <c r="J127" s="3">
        <v>137824.29</v>
      </c>
      <c r="K127" s="54">
        <f t="shared" si="11"/>
        <v>4.010955992193992E-3</v>
      </c>
      <c r="L127" s="3">
        <v>14.65</v>
      </c>
      <c r="M127" s="55">
        <f t="shared" si="6"/>
        <v>5.4266235986011324E-4</v>
      </c>
    </row>
    <row r="128" spans="1:13" x14ac:dyDescent="0.35">
      <c r="A128" s="9">
        <v>45803</v>
      </c>
      <c r="B128" s="3">
        <v>5.4152933150999996</v>
      </c>
      <c r="C128" s="29">
        <f t="shared" si="7"/>
        <v>-3.6036075104062242E-3</v>
      </c>
      <c r="D128" s="3">
        <v>9.6300000000000008</v>
      </c>
      <c r="E128" s="48">
        <f t="shared" si="8"/>
        <v>1.5698909543103833E-2</v>
      </c>
      <c r="F128" s="3">
        <v>24.219936471</v>
      </c>
      <c r="G128" s="50">
        <f t="shared" si="9"/>
        <v>1.0185461831857553E-2</v>
      </c>
      <c r="H128" s="3">
        <v>32.721065559000003</v>
      </c>
      <c r="I128" s="52">
        <f t="shared" si="10"/>
        <v>6.8831634941804989E-3</v>
      </c>
      <c r="J128" s="3">
        <v>138136.14000000001</v>
      </c>
      <c r="K128" s="54">
        <f t="shared" si="11"/>
        <v>2.2601076012700445E-3</v>
      </c>
      <c r="L128" s="3">
        <v>14.65</v>
      </c>
      <c r="M128" s="55">
        <f t="shared" si="6"/>
        <v>5.4266235986011324E-4</v>
      </c>
    </row>
    <row r="129" spans="1:13" x14ac:dyDescent="0.35">
      <c r="A129" s="9">
        <v>45804</v>
      </c>
      <c r="B129" s="3">
        <v>5.7378649385999996</v>
      </c>
      <c r="C129" s="29">
        <f t="shared" si="7"/>
        <v>5.7860133087324517E-2</v>
      </c>
      <c r="D129" s="3">
        <v>9.82</v>
      </c>
      <c r="E129" s="48">
        <f t="shared" si="8"/>
        <v>1.9537896556340299E-2</v>
      </c>
      <c r="F129" s="3">
        <v>24.121760807000001</v>
      </c>
      <c r="G129" s="50">
        <f t="shared" si="9"/>
        <v>-4.061743980920845E-3</v>
      </c>
      <c r="H129" s="3">
        <v>32.935757907000003</v>
      </c>
      <c r="I129" s="52">
        <f t="shared" si="10"/>
        <v>6.5398568453456929E-3</v>
      </c>
      <c r="J129" s="3">
        <v>139541.23000000001</v>
      </c>
      <c r="K129" s="54">
        <f t="shared" si="11"/>
        <v>1.0120392545473171E-2</v>
      </c>
      <c r="L129" s="3">
        <v>14.65</v>
      </c>
      <c r="M129" s="55">
        <f t="shared" si="6"/>
        <v>5.4266235986011324E-4</v>
      </c>
    </row>
    <row r="130" spans="1:13" x14ac:dyDescent="0.35">
      <c r="A130" s="9">
        <v>45805</v>
      </c>
      <c r="B130" s="3">
        <v>5.7280900408999997</v>
      </c>
      <c r="C130" s="29">
        <f t="shared" si="7"/>
        <v>-1.7050302544445424E-3</v>
      </c>
      <c r="D130" s="3">
        <v>9.85</v>
      </c>
      <c r="E130" s="48">
        <f t="shared" si="8"/>
        <v>3.0503328176228754E-3</v>
      </c>
      <c r="F130" s="3">
        <v>23.64070005</v>
      </c>
      <c r="G130" s="50">
        <f t="shared" si="9"/>
        <v>-2.0144566099457268E-2</v>
      </c>
      <c r="H130" s="3">
        <v>32.584443155999999</v>
      </c>
      <c r="I130" s="52">
        <f t="shared" si="10"/>
        <v>-1.0723963362730298E-2</v>
      </c>
      <c r="J130" s="3">
        <v>138887.81</v>
      </c>
      <c r="K130" s="54">
        <f t="shared" si="11"/>
        <v>-4.6936282190804387E-3</v>
      </c>
      <c r="L130" s="3">
        <v>14.65</v>
      </c>
      <c r="M130" s="55">
        <f t="shared" si="6"/>
        <v>5.4266235986011324E-4</v>
      </c>
    </row>
    <row r="131" spans="1:13" x14ac:dyDescent="0.35">
      <c r="A131" s="9">
        <v>45806</v>
      </c>
      <c r="B131" s="3">
        <v>5.6694406547999998</v>
      </c>
      <c r="C131" s="29">
        <f t="shared" si="7"/>
        <v>-1.0291686039316798E-2</v>
      </c>
      <c r="D131" s="3">
        <v>9.9</v>
      </c>
      <c r="E131" s="48">
        <f t="shared" si="8"/>
        <v>5.0633019565468548E-3</v>
      </c>
      <c r="F131" s="3">
        <v>23.267632524</v>
      </c>
      <c r="G131" s="50">
        <f t="shared" si="9"/>
        <v>-1.5906572312171217E-2</v>
      </c>
      <c r="H131" s="3">
        <v>32.506373211000003</v>
      </c>
      <c r="I131" s="52">
        <f t="shared" si="10"/>
        <v>-2.3988017601738751E-3</v>
      </c>
      <c r="J131" s="3">
        <v>138533.70000000001</v>
      </c>
      <c r="K131" s="54">
        <f t="shared" si="11"/>
        <v>-2.5528676007503886E-3</v>
      </c>
      <c r="L131" s="3">
        <v>14.65</v>
      </c>
      <c r="M131" s="55">
        <f t="shared" si="6"/>
        <v>5.4266235986011324E-4</v>
      </c>
    </row>
    <row r="132" spans="1:13" x14ac:dyDescent="0.35">
      <c r="A132" s="9">
        <v>45807</v>
      </c>
      <c r="B132" s="3">
        <v>5.7085402456000001</v>
      </c>
      <c r="C132" s="29">
        <f t="shared" si="7"/>
        <v>6.8728793012929465E-3</v>
      </c>
      <c r="D132" s="3">
        <v>9.8800000000000008</v>
      </c>
      <c r="E132" s="48">
        <f t="shared" si="8"/>
        <v>-2.022245380767698E-3</v>
      </c>
      <c r="F132" s="3">
        <v>22.992740662999999</v>
      </c>
      <c r="G132" s="50">
        <f t="shared" si="9"/>
        <v>-1.1884689969642462E-2</v>
      </c>
      <c r="H132" s="3">
        <v>32.564925670000001</v>
      </c>
      <c r="I132" s="52">
        <f t="shared" si="10"/>
        <v>1.7996405730251839E-3</v>
      </c>
      <c r="J132" s="3">
        <v>137026.62</v>
      </c>
      <c r="K132" s="54">
        <f t="shared" si="11"/>
        <v>-1.0938403806814446E-2</v>
      </c>
      <c r="L132" s="3">
        <v>14.65</v>
      </c>
      <c r="M132" s="55">
        <f t="shared" ref="M132:M195" si="12">(1+L132/100)^(1/252) -1</f>
        <v>5.4266235986011324E-4</v>
      </c>
    </row>
    <row r="133" spans="1:13" x14ac:dyDescent="0.35">
      <c r="A133" s="9">
        <v>45810</v>
      </c>
      <c r="B133" s="3">
        <v>5.8062892224000002</v>
      </c>
      <c r="C133" s="29">
        <f t="shared" ref="C133:C196" si="13">LN(B133/B132)</f>
        <v>1.697833653300233E-2</v>
      </c>
      <c r="D133" s="3">
        <v>9.86</v>
      </c>
      <c r="E133" s="48">
        <f t="shared" ref="E133:E196" si="14">LN(D133/D132)</f>
        <v>-2.0263431452325841E-3</v>
      </c>
      <c r="F133" s="3">
        <v>22.855294733000001</v>
      </c>
      <c r="G133" s="50">
        <f t="shared" ref="G133:G196" si="15">LN(F133/F132)</f>
        <v>-5.9957352835046168E-3</v>
      </c>
      <c r="H133" s="3">
        <v>32.377116911000002</v>
      </c>
      <c r="I133" s="52">
        <f t="shared" ref="I133:I196" si="16">LN(H133/H132)</f>
        <v>-5.7839043894542096E-3</v>
      </c>
      <c r="J133" s="3">
        <v>136786.65</v>
      </c>
      <c r="K133" s="54">
        <f t="shared" ref="K133:K196" si="17">LN(J133/J132)</f>
        <v>-1.7528008152309716E-3</v>
      </c>
      <c r="L133" s="3">
        <v>14.65</v>
      </c>
      <c r="M133" s="55">
        <f t="shared" si="12"/>
        <v>5.4266235986011324E-4</v>
      </c>
    </row>
    <row r="134" spans="1:13" x14ac:dyDescent="0.35">
      <c r="A134" s="9">
        <v>45811</v>
      </c>
      <c r="B134" s="3">
        <v>5.9920122782999998</v>
      </c>
      <c r="C134" s="29">
        <f t="shared" si="13"/>
        <v>3.1485616567666311E-2</v>
      </c>
      <c r="D134" s="3">
        <v>10.01</v>
      </c>
      <c r="E134" s="48">
        <f t="shared" si="14"/>
        <v>1.5098424712585243E-2</v>
      </c>
      <c r="F134" s="3">
        <v>22.98</v>
      </c>
      <c r="G134" s="50">
        <f t="shared" si="15"/>
        <v>5.4414649423224952E-3</v>
      </c>
      <c r="H134" s="3">
        <v>32.113491410999998</v>
      </c>
      <c r="I134" s="52">
        <f t="shared" si="16"/>
        <v>-8.1756700793038841E-3</v>
      </c>
      <c r="J134" s="3">
        <v>137546.26</v>
      </c>
      <c r="K134" s="54">
        <f t="shared" si="17"/>
        <v>5.5378841810790535E-3</v>
      </c>
      <c r="L134" s="3">
        <v>14.65</v>
      </c>
      <c r="M134" s="55">
        <f t="shared" si="12"/>
        <v>5.4266235986011324E-4</v>
      </c>
    </row>
    <row r="135" spans="1:13" x14ac:dyDescent="0.35">
      <c r="A135" s="9">
        <v>45812</v>
      </c>
      <c r="B135" s="3">
        <v>5.8551637108000003</v>
      </c>
      <c r="C135" s="29">
        <f t="shared" si="13"/>
        <v>-2.310333781555193E-2</v>
      </c>
      <c r="D135" s="3">
        <v>10.08</v>
      </c>
      <c r="E135" s="48">
        <f t="shared" si="14"/>
        <v>6.9686693160934355E-3</v>
      </c>
      <c r="F135" s="3">
        <v>22.35</v>
      </c>
      <c r="G135" s="50">
        <f t="shared" si="15"/>
        <v>-2.7797951361031754E-2</v>
      </c>
      <c r="H135" s="3">
        <v>32.025616245000002</v>
      </c>
      <c r="I135" s="52">
        <f t="shared" si="16"/>
        <v>-2.7401447944907127E-3</v>
      </c>
      <c r="J135" s="3">
        <v>137001.57999999999</v>
      </c>
      <c r="K135" s="54">
        <f t="shared" si="17"/>
        <v>-3.9678382799020664E-3</v>
      </c>
      <c r="L135" s="3">
        <v>14.65</v>
      </c>
      <c r="M135" s="55">
        <f t="shared" si="12"/>
        <v>5.4266235986011324E-4</v>
      </c>
    </row>
    <row r="136" spans="1:13" x14ac:dyDescent="0.35">
      <c r="A136" s="9">
        <v>45813</v>
      </c>
      <c r="B136" s="3">
        <v>5.7378649385999996</v>
      </c>
      <c r="C136" s="29">
        <f t="shared" si="13"/>
        <v>-2.0236778292648423E-2</v>
      </c>
      <c r="D136" s="3">
        <v>9.9</v>
      </c>
      <c r="E136" s="48">
        <f t="shared" si="14"/>
        <v>-1.801850550267825E-2</v>
      </c>
      <c r="F136" s="3">
        <v>22.24</v>
      </c>
      <c r="G136" s="50">
        <f t="shared" si="15"/>
        <v>-4.933851677196309E-3</v>
      </c>
      <c r="H136" s="3">
        <v>31.566712597999999</v>
      </c>
      <c r="I136" s="52">
        <f t="shared" si="16"/>
        <v>-1.4432923639669529E-2</v>
      </c>
      <c r="J136" s="3">
        <v>136236.37</v>
      </c>
      <c r="K136" s="54">
        <f t="shared" si="17"/>
        <v>-5.6010667662357528E-3</v>
      </c>
      <c r="L136" s="3">
        <v>14.65</v>
      </c>
      <c r="M136" s="55">
        <f t="shared" si="12"/>
        <v>5.4266235986011324E-4</v>
      </c>
    </row>
    <row r="137" spans="1:13" x14ac:dyDescent="0.35">
      <c r="A137" s="9">
        <v>45814</v>
      </c>
      <c r="B137" s="3">
        <v>5.8942633014999997</v>
      </c>
      <c r="C137" s="29">
        <f t="shared" si="13"/>
        <v>2.689237690044732E-2</v>
      </c>
      <c r="D137" s="3">
        <v>9.9</v>
      </c>
      <c r="E137" s="48">
        <f t="shared" si="14"/>
        <v>0</v>
      </c>
      <c r="F137" s="3">
        <v>21.71</v>
      </c>
      <c r="G137" s="50">
        <f t="shared" si="15"/>
        <v>-2.4119485492181056E-2</v>
      </c>
      <c r="H137" s="3">
        <v>31.742462930999999</v>
      </c>
      <c r="I137" s="52">
        <f t="shared" si="16"/>
        <v>5.5521425767669627E-3</v>
      </c>
      <c r="J137" s="3">
        <v>136102.1</v>
      </c>
      <c r="K137" s="54">
        <f t="shared" si="17"/>
        <v>-9.8605247271321304E-4</v>
      </c>
      <c r="L137" s="3">
        <v>14.65</v>
      </c>
      <c r="M137" s="55">
        <f t="shared" si="12"/>
        <v>5.4266235986011324E-4</v>
      </c>
    </row>
    <row r="138" spans="1:13" x14ac:dyDescent="0.35">
      <c r="A138" s="9">
        <v>45817</v>
      </c>
      <c r="B138" s="3">
        <v>5.7769645292999998</v>
      </c>
      <c r="C138" s="29">
        <f t="shared" si="13"/>
        <v>-2.0101179326426671E-2</v>
      </c>
      <c r="D138" s="3">
        <v>9.89</v>
      </c>
      <c r="E138" s="48">
        <f t="shared" si="14"/>
        <v>-1.0106115059235032E-3</v>
      </c>
      <c r="F138" s="3">
        <v>21.73</v>
      </c>
      <c r="G138" s="50">
        <f t="shared" si="15"/>
        <v>9.208103781376825E-4</v>
      </c>
      <c r="H138" s="3">
        <v>31.410490078999999</v>
      </c>
      <c r="I138" s="52">
        <f t="shared" si="16"/>
        <v>-1.0513393086403647E-2</v>
      </c>
      <c r="J138" s="3">
        <v>135699.38</v>
      </c>
      <c r="K138" s="54">
        <f t="shared" si="17"/>
        <v>-2.9633414409920532E-3</v>
      </c>
      <c r="L138" s="3">
        <v>14.65</v>
      </c>
      <c r="M138" s="55">
        <f t="shared" si="12"/>
        <v>5.4266235986011324E-4</v>
      </c>
    </row>
    <row r="139" spans="1:13" x14ac:dyDescent="0.35">
      <c r="A139" s="9">
        <v>45818</v>
      </c>
      <c r="B139" s="3">
        <v>5.7769645292999998</v>
      </c>
      <c r="C139" s="29">
        <f t="shared" si="13"/>
        <v>0</v>
      </c>
      <c r="D139" s="3">
        <v>9.98</v>
      </c>
      <c r="E139" s="48">
        <f t="shared" si="14"/>
        <v>9.0589446887517529E-3</v>
      </c>
      <c r="F139" s="3">
        <v>21.54</v>
      </c>
      <c r="G139" s="50">
        <f t="shared" si="15"/>
        <v>-8.7821225400957874E-3</v>
      </c>
      <c r="H139" s="3">
        <v>31.463867163</v>
      </c>
      <c r="I139" s="52">
        <f t="shared" si="16"/>
        <v>1.6978971766742905E-3</v>
      </c>
      <c r="J139" s="3">
        <v>136436.07</v>
      </c>
      <c r="K139" s="54">
        <f t="shared" si="17"/>
        <v>5.4141553373763642E-3</v>
      </c>
      <c r="L139" s="3">
        <v>14.65</v>
      </c>
      <c r="M139" s="55">
        <f t="shared" si="12"/>
        <v>5.4266235986011324E-4</v>
      </c>
    </row>
    <row r="140" spans="1:13" x14ac:dyDescent="0.35">
      <c r="A140" s="9">
        <v>45819</v>
      </c>
      <c r="B140" s="3">
        <v>5.8356139153999997</v>
      </c>
      <c r="C140" s="29">
        <f t="shared" si="13"/>
        <v>1.0101095989200365E-2</v>
      </c>
      <c r="D140" s="3">
        <v>9.83</v>
      </c>
      <c r="E140" s="48">
        <f t="shared" si="14"/>
        <v>-1.5144156164297495E-2</v>
      </c>
      <c r="F140" s="3">
        <v>21.4</v>
      </c>
      <c r="G140" s="50">
        <f t="shared" si="15"/>
        <v>-6.5207497004367574E-3</v>
      </c>
      <c r="H140" s="3">
        <v>31.730259265000001</v>
      </c>
      <c r="I140" s="52">
        <f t="shared" si="16"/>
        <v>8.4309632875838054E-3</v>
      </c>
      <c r="J140" s="3">
        <v>137128.04</v>
      </c>
      <c r="K140" s="54">
        <f t="shared" si="17"/>
        <v>5.0589346372079411E-3</v>
      </c>
      <c r="L140" s="3">
        <v>14.65</v>
      </c>
      <c r="M140" s="55">
        <f t="shared" si="12"/>
        <v>5.4266235986011324E-4</v>
      </c>
    </row>
    <row r="141" spans="1:13" x14ac:dyDescent="0.35">
      <c r="A141" s="9">
        <v>45820</v>
      </c>
      <c r="B141" s="3">
        <v>6.0506616643999998</v>
      </c>
      <c r="C141" s="29">
        <f t="shared" si="13"/>
        <v>3.6188159295925088E-2</v>
      </c>
      <c r="D141" s="3">
        <v>9.92</v>
      </c>
      <c r="E141" s="48">
        <f t="shared" si="14"/>
        <v>9.1139871377061438E-3</v>
      </c>
      <c r="F141" s="3">
        <v>21.42</v>
      </c>
      <c r="G141" s="50">
        <f t="shared" si="15"/>
        <v>9.3414299179714387E-4</v>
      </c>
      <c r="H141" s="3">
        <v>31.878254878</v>
      </c>
      <c r="I141" s="52">
        <f t="shared" si="16"/>
        <v>4.653335549373144E-3</v>
      </c>
      <c r="J141" s="3">
        <v>137799.74</v>
      </c>
      <c r="K141" s="54">
        <f t="shared" si="17"/>
        <v>4.8863838823445371E-3</v>
      </c>
      <c r="L141" s="3">
        <v>14.65</v>
      </c>
      <c r="M141" s="55">
        <f t="shared" si="12"/>
        <v>5.4266235986011324E-4</v>
      </c>
    </row>
    <row r="142" spans="1:13" x14ac:dyDescent="0.35">
      <c r="A142" s="9">
        <v>45821</v>
      </c>
      <c r="B142" s="3">
        <v>6.0604365620999996</v>
      </c>
      <c r="C142" s="29">
        <f t="shared" si="13"/>
        <v>1.6142053577133126E-3</v>
      </c>
      <c r="D142" s="3">
        <v>10.02</v>
      </c>
      <c r="E142" s="48">
        <f t="shared" si="14"/>
        <v>1.0030174359937251E-2</v>
      </c>
      <c r="F142" s="3">
        <v>21.59</v>
      </c>
      <c r="G142" s="50">
        <f t="shared" si="15"/>
        <v>7.9051795071132473E-3</v>
      </c>
      <c r="H142" s="3">
        <v>31.799323884</v>
      </c>
      <c r="I142" s="52">
        <f t="shared" si="16"/>
        <v>-2.4790840342688429E-3</v>
      </c>
      <c r="J142" s="3">
        <v>137212.63</v>
      </c>
      <c r="K142" s="54">
        <f t="shared" si="17"/>
        <v>-4.2697053367921614E-3</v>
      </c>
      <c r="L142" s="3">
        <v>14.65</v>
      </c>
      <c r="M142" s="55">
        <f t="shared" si="12"/>
        <v>5.4266235986011324E-4</v>
      </c>
    </row>
    <row r="143" spans="1:13" x14ac:dyDescent="0.35">
      <c r="A143" s="9">
        <v>45824</v>
      </c>
      <c r="B143" s="3">
        <v>6.1288608458000002</v>
      </c>
      <c r="C143" s="29">
        <f t="shared" si="13"/>
        <v>1.122706258307277E-2</v>
      </c>
      <c r="D143" s="3">
        <v>10.210000000000001</v>
      </c>
      <c r="E143" s="48">
        <f t="shared" si="14"/>
        <v>1.8784536519855611E-2</v>
      </c>
      <c r="F143" s="3">
        <v>21.98</v>
      </c>
      <c r="G143" s="50">
        <f t="shared" si="15"/>
        <v>1.7902704448759441E-2</v>
      </c>
      <c r="H143" s="3">
        <v>32.203845225000002</v>
      </c>
      <c r="I143" s="52">
        <f t="shared" si="16"/>
        <v>1.2640834295527049E-2</v>
      </c>
      <c r="J143" s="3">
        <v>139255.91</v>
      </c>
      <c r="K143" s="54">
        <f t="shared" si="17"/>
        <v>1.4781553109944317E-2</v>
      </c>
      <c r="L143" s="3">
        <v>14.65</v>
      </c>
      <c r="M143" s="55">
        <f t="shared" si="12"/>
        <v>5.4266235986011324E-4</v>
      </c>
    </row>
    <row r="144" spans="1:13" x14ac:dyDescent="0.35">
      <c r="A144" s="9">
        <v>45825</v>
      </c>
      <c r="B144" s="3">
        <v>6.1093110504999997</v>
      </c>
      <c r="C144" s="29">
        <f t="shared" si="13"/>
        <v>-3.1948908864684643E-3</v>
      </c>
      <c r="D144" s="3">
        <v>10.07</v>
      </c>
      <c r="E144" s="48">
        <f t="shared" si="14"/>
        <v>-1.38069254461033E-2</v>
      </c>
      <c r="F144" s="3">
        <v>21.9</v>
      </c>
      <c r="G144" s="50">
        <f t="shared" si="15"/>
        <v>-3.6463121530201986E-3</v>
      </c>
      <c r="H144" s="3">
        <v>32.371573585</v>
      </c>
      <c r="I144" s="52">
        <f t="shared" si="16"/>
        <v>5.1948168602101693E-3</v>
      </c>
      <c r="J144" s="3">
        <v>138840.01999999999</v>
      </c>
      <c r="K144" s="54">
        <f t="shared" si="17"/>
        <v>-2.9909845141967077E-3</v>
      </c>
      <c r="L144" s="3">
        <v>14.65</v>
      </c>
      <c r="M144" s="55">
        <f t="shared" si="12"/>
        <v>5.4266235986011324E-4</v>
      </c>
    </row>
    <row r="145" spans="1:13" x14ac:dyDescent="0.35">
      <c r="A145" s="9">
        <v>45826</v>
      </c>
      <c r="B145" s="3">
        <v>6.1484106411999999</v>
      </c>
      <c r="C145" s="29">
        <f t="shared" si="13"/>
        <v>6.3796069602657301E-3</v>
      </c>
      <c r="D145" s="3">
        <v>10.06</v>
      </c>
      <c r="E145" s="48">
        <f t="shared" si="14"/>
        <v>-9.9354205887778983E-4</v>
      </c>
      <c r="F145" s="3">
        <v>21.81</v>
      </c>
      <c r="G145" s="50">
        <f t="shared" si="15"/>
        <v>-4.118056608917486E-3</v>
      </c>
      <c r="H145" s="3">
        <v>32.055849612000003</v>
      </c>
      <c r="I145" s="52">
        <f t="shared" si="16"/>
        <v>-9.8009972985902503E-3</v>
      </c>
      <c r="J145" s="3">
        <v>138716.64000000001</v>
      </c>
      <c r="K145" s="54">
        <f t="shared" si="17"/>
        <v>-8.8904375868043809E-4</v>
      </c>
      <c r="L145" s="3">
        <v>14.65</v>
      </c>
      <c r="M145" s="55">
        <f t="shared" si="12"/>
        <v>5.4266235986011324E-4</v>
      </c>
    </row>
    <row r="146" spans="1:13" x14ac:dyDescent="0.35">
      <c r="A146" s="9">
        <v>45828</v>
      </c>
      <c r="B146" s="3">
        <v>6.1093110504999997</v>
      </c>
      <c r="C146" s="29">
        <f t="shared" si="13"/>
        <v>-6.3796069602657102E-3</v>
      </c>
      <c r="D146" s="3">
        <v>9.8000000000000007</v>
      </c>
      <c r="E146" s="48">
        <f t="shared" si="14"/>
        <v>-2.618477899506691E-2</v>
      </c>
      <c r="F146" s="3">
        <v>21.35</v>
      </c>
      <c r="G146" s="50">
        <f t="shared" si="15"/>
        <v>-2.1316840538903988E-2</v>
      </c>
      <c r="H146" s="3">
        <v>32.055849612000003</v>
      </c>
      <c r="I146" s="52">
        <f t="shared" si="16"/>
        <v>0</v>
      </c>
      <c r="J146" s="3">
        <v>137115.82999999999</v>
      </c>
      <c r="K146" s="54">
        <f t="shared" si="17"/>
        <v>-1.1607248217117548E-2</v>
      </c>
      <c r="L146" s="3">
        <v>14.9</v>
      </c>
      <c r="M146" s="55">
        <f t="shared" si="12"/>
        <v>5.513106415402369E-4</v>
      </c>
    </row>
    <row r="147" spans="1:13" x14ac:dyDescent="0.35">
      <c r="A147" s="9">
        <v>45831</v>
      </c>
      <c r="B147" s="3">
        <v>6.1875102319000002</v>
      </c>
      <c r="C147" s="29">
        <f t="shared" si="13"/>
        <v>1.2718772400275784E-2</v>
      </c>
      <c r="D147" s="3">
        <v>9.89</v>
      </c>
      <c r="E147" s="48">
        <f t="shared" si="14"/>
        <v>9.1417599580945093E-3</v>
      </c>
      <c r="F147" s="3">
        <v>21.09</v>
      </c>
      <c r="G147" s="50">
        <f t="shared" si="15"/>
        <v>-1.2252745183950437E-2</v>
      </c>
      <c r="H147" s="3">
        <v>31.838789381000002</v>
      </c>
      <c r="I147" s="52">
        <f t="shared" si="16"/>
        <v>-6.7943436080031474E-3</v>
      </c>
      <c r="J147" s="3">
        <v>136550.5</v>
      </c>
      <c r="K147" s="54">
        <f t="shared" si="17"/>
        <v>-4.1315334930780564E-3</v>
      </c>
      <c r="L147" s="3">
        <v>14.9</v>
      </c>
      <c r="M147" s="55">
        <f t="shared" si="12"/>
        <v>5.513106415402369E-4</v>
      </c>
    </row>
    <row r="148" spans="1:13" x14ac:dyDescent="0.35">
      <c r="A148" s="9">
        <v>45832</v>
      </c>
      <c r="B148" s="3">
        <v>6.1190859482000004</v>
      </c>
      <c r="C148" s="29">
        <f t="shared" si="13"/>
        <v>-1.1120051033440935E-2</v>
      </c>
      <c r="D148" s="3">
        <v>10.17</v>
      </c>
      <c r="E148" s="48">
        <f t="shared" si="14"/>
        <v>2.7918064425847697E-2</v>
      </c>
      <c r="F148" s="3">
        <v>21.44</v>
      </c>
      <c r="G148" s="50">
        <f t="shared" si="15"/>
        <v>1.6459341711918096E-2</v>
      </c>
      <c r="H148" s="3">
        <v>32.411039082000002</v>
      </c>
      <c r="I148" s="52">
        <f t="shared" si="16"/>
        <v>1.7813738876587396E-2</v>
      </c>
      <c r="J148" s="3">
        <v>137164.60999999999</v>
      </c>
      <c r="K148" s="54">
        <f t="shared" si="17"/>
        <v>4.4872278365338785E-3</v>
      </c>
      <c r="L148" s="3">
        <v>14.9</v>
      </c>
      <c r="M148" s="55">
        <f t="shared" si="12"/>
        <v>5.513106415402369E-4</v>
      </c>
    </row>
    <row r="149" spans="1:13" x14ac:dyDescent="0.35">
      <c r="A149" s="9">
        <v>45833</v>
      </c>
      <c r="B149" s="3">
        <v>6.1875102319000002</v>
      </c>
      <c r="C149" s="29">
        <f t="shared" si="13"/>
        <v>1.1120051033440962E-2</v>
      </c>
      <c r="D149" s="3">
        <v>9.94</v>
      </c>
      <c r="E149" s="48">
        <f t="shared" si="14"/>
        <v>-2.2875189391985937E-2</v>
      </c>
      <c r="F149" s="3">
        <v>21.26</v>
      </c>
      <c r="G149" s="50">
        <f t="shared" si="15"/>
        <v>-8.4309632887994077E-3</v>
      </c>
      <c r="H149" s="3">
        <v>32.026250490000002</v>
      </c>
      <c r="I149" s="52">
        <f t="shared" si="16"/>
        <v>-1.1943182849136003E-2</v>
      </c>
      <c r="J149" s="3">
        <v>135767.29</v>
      </c>
      <c r="K149" s="54">
        <f t="shared" si="17"/>
        <v>-1.0239420225811126E-2</v>
      </c>
      <c r="L149" s="3">
        <v>14.9</v>
      </c>
      <c r="M149" s="55">
        <f t="shared" si="12"/>
        <v>5.513106415402369E-4</v>
      </c>
    </row>
    <row r="150" spans="1:13" x14ac:dyDescent="0.35">
      <c r="A150" s="9">
        <v>45834</v>
      </c>
      <c r="B150" s="3">
        <v>6.1875102319000002</v>
      </c>
      <c r="C150" s="29">
        <f t="shared" si="13"/>
        <v>0</v>
      </c>
      <c r="D150" s="3">
        <v>9.92</v>
      </c>
      <c r="E150" s="48">
        <f t="shared" si="14"/>
        <v>-2.0140993717011448E-3</v>
      </c>
      <c r="F150" s="3">
        <v>21.6</v>
      </c>
      <c r="G150" s="50">
        <f t="shared" si="15"/>
        <v>1.5865941776317376E-2</v>
      </c>
      <c r="H150" s="3">
        <v>31.907854</v>
      </c>
      <c r="I150" s="52">
        <f t="shared" si="16"/>
        <v>-3.7037079438567823E-3</v>
      </c>
      <c r="J150" s="3">
        <v>137113.89000000001</v>
      </c>
      <c r="K150" s="54">
        <f t="shared" si="17"/>
        <v>9.8695771606192358E-3</v>
      </c>
      <c r="L150" s="3">
        <v>14.9</v>
      </c>
      <c r="M150" s="55">
        <f t="shared" si="12"/>
        <v>5.513106415402369E-4</v>
      </c>
    </row>
    <row r="151" spans="1:13" x14ac:dyDescent="0.35">
      <c r="A151" s="9">
        <v>45835</v>
      </c>
      <c r="B151" s="3">
        <v>6.3145839017999998</v>
      </c>
      <c r="C151" s="29">
        <f t="shared" si="13"/>
        <v>2.0329081646431407E-2</v>
      </c>
      <c r="D151" s="3">
        <v>9.98</v>
      </c>
      <c r="E151" s="48">
        <f t="shared" si="14"/>
        <v>6.0301690265912311E-3</v>
      </c>
      <c r="F151" s="3">
        <v>21.73</v>
      </c>
      <c r="G151" s="50">
        <f t="shared" si="15"/>
        <v>6.0004795782188569E-3</v>
      </c>
      <c r="H151" s="3">
        <v>31.828923007</v>
      </c>
      <c r="I151" s="52">
        <f t="shared" si="16"/>
        <v>-2.4767814456998628E-3</v>
      </c>
      <c r="J151" s="3">
        <v>136865.79</v>
      </c>
      <c r="K151" s="54">
        <f t="shared" si="17"/>
        <v>-1.8110837111314829E-3</v>
      </c>
      <c r="L151" s="3">
        <v>14.9</v>
      </c>
      <c r="M151" s="55">
        <f t="shared" si="12"/>
        <v>5.513106415402369E-4</v>
      </c>
    </row>
    <row r="152" spans="1:13" x14ac:dyDescent="0.35">
      <c r="A152" s="9">
        <v>45838</v>
      </c>
      <c r="B152" s="3">
        <v>6.3536834925000001</v>
      </c>
      <c r="C152" s="29">
        <f t="shared" si="13"/>
        <v>6.1728591034263649E-3</v>
      </c>
      <c r="D152" s="3">
        <v>10.17</v>
      </c>
      <c r="E152" s="48">
        <f t="shared" si="14"/>
        <v>1.885911973709594E-2</v>
      </c>
      <c r="F152" s="3">
        <v>22.09</v>
      </c>
      <c r="G152" s="50">
        <f t="shared" si="15"/>
        <v>1.643122316368761E-2</v>
      </c>
      <c r="H152" s="3">
        <v>32.54916832</v>
      </c>
      <c r="I152" s="52">
        <f t="shared" si="16"/>
        <v>2.2376412545589114E-2</v>
      </c>
      <c r="J152" s="3">
        <v>138854.6</v>
      </c>
      <c r="K152" s="54">
        <f t="shared" si="17"/>
        <v>1.4426531844628124E-2</v>
      </c>
      <c r="L152" s="3">
        <v>14.9</v>
      </c>
      <c r="M152" s="55">
        <f t="shared" si="12"/>
        <v>5.513106415402369E-4</v>
      </c>
    </row>
    <row r="153" spans="1:13" x14ac:dyDescent="0.35">
      <c r="A153" s="9">
        <v>45839</v>
      </c>
      <c r="B153" s="3">
        <v>6.2559345156999999</v>
      </c>
      <c r="C153" s="29">
        <f t="shared" si="13"/>
        <v>-1.5504186534735696E-2</v>
      </c>
      <c r="D153" s="3">
        <v>10.07</v>
      </c>
      <c r="E153" s="48">
        <f t="shared" si="14"/>
        <v>-9.8815033299976471E-3</v>
      </c>
      <c r="F153" s="3">
        <v>21.91</v>
      </c>
      <c r="G153" s="50">
        <f t="shared" si="15"/>
        <v>-8.1818638246506543E-3</v>
      </c>
      <c r="H153" s="3">
        <v>32.586335103000003</v>
      </c>
      <c r="I153" s="52">
        <f t="shared" si="16"/>
        <v>1.1412143940112299E-3</v>
      </c>
      <c r="J153" s="3">
        <v>139549.43</v>
      </c>
      <c r="K153" s="54">
        <f t="shared" si="17"/>
        <v>4.9915329362395138E-3</v>
      </c>
      <c r="L153" s="3">
        <v>14.9</v>
      </c>
      <c r="M153" s="55">
        <f t="shared" si="12"/>
        <v>5.513106415402369E-4</v>
      </c>
    </row>
    <row r="154" spans="1:13" x14ac:dyDescent="0.35">
      <c r="A154" s="9">
        <v>45840</v>
      </c>
      <c r="B154" s="3">
        <v>6.3048090041</v>
      </c>
      <c r="C154" s="29">
        <f t="shared" si="13"/>
        <v>7.7821404414353994E-3</v>
      </c>
      <c r="D154" s="3">
        <v>9.6999999999999993</v>
      </c>
      <c r="E154" s="48">
        <f t="shared" si="14"/>
        <v>-3.7434821221133882E-2</v>
      </c>
      <c r="F154" s="3">
        <v>21.99</v>
      </c>
      <c r="G154" s="50">
        <f t="shared" si="15"/>
        <v>3.6446509592946144E-3</v>
      </c>
      <c r="H154" s="3">
        <v>32.388901990999997</v>
      </c>
      <c r="I154" s="52">
        <f t="shared" si="16"/>
        <v>-6.0771988981897706E-3</v>
      </c>
      <c r="J154" s="3">
        <v>139050.93</v>
      </c>
      <c r="K154" s="54">
        <f t="shared" si="17"/>
        <v>-3.578606517235702E-3</v>
      </c>
      <c r="L154" s="3">
        <v>14.9</v>
      </c>
      <c r="M154" s="55">
        <f t="shared" si="12"/>
        <v>5.513106415402369E-4</v>
      </c>
    </row>
    <row r="155" spans="1:13" x14ac:dyDescent="0.35">
      <c r="A155" s="9">
        <v>45841</v>
      </c>
      <c r="B155" s="3">
        <v>6.3243587994999997</v>
      </c>
      <c r="C155" s="29">
        <f t="shared" si="13"/>
        <v>3.0959777112075956E-3</v>
      </c>
      <c r="D155" s="3">
        <v>9.89</v>
      </c>
      <c r="E155" s="48">
        <f t="shared" si="14"/>
        <v>1.9398260125283756E-2</v>
      </c>
      <c r="F155" s="3">
        <v>22.3</v>
      </c>
      <c r="G155" s="50">
        <f t="shared" si="15"/>
        <v>1.3998873899403267E-2</v>
      </c>
      <c r="H155" s="3">
        <v>33.178634439</v>
      </c>
      <c r="I155" s="52">
        <f t="shared" si="16"/>
        <v>2.4090294787961715E-2</v>
      </c>
      <c r="J155" s="3">
        <v>140927.85999999999</v>
      </c>
      <c r="K155" s="54">
        <f t="shared" si="17"/>
        <v>1.3407859345342044E-2</v>
      </c>
      <c r="L155" s="3">
        <v>14.9</v>
      </c>
      <c r="M155" s="55">
        <f t="shared" si="12"/>
        <v>5.513106415402369E-4</v>
      </c>
    </row>
    <row r="156" spans="1:13" x14ac:dyDescent="0.35">
      <c r="A156" s="9">
        <v>45842</v>
      </c>
      <c r="B156" s="3">
        <v>6.3830081854999996</v>
      </c>
      <c r="C156" s="29">
        <f t="shared" si="13"/>
        <v>9.2308347622127775E-3</v>
      </c>
      <c r="D156" s="3">
        <v>9.8000000000000007</v>
      </c>
      <c r="E156" s="48">
        <f t="shared" si="14"/>
        <v>-9.1417599580945128E-3</v>
      </c>
      <c r="F156" s="3">
        <v>22.43</v>
      </c>
      <c r="G156" s="50">
        <f t="shared" si="15"/>
        <v>5.8126700660439141E-3</v>
      </c>
      <c r="H156" s="3">
        <v>33.247736027999998</v>
      </c>
      <c r="I156" s="52">
        <f t="shared" si="16"/>
        <v>2.0805476331383502E-3</v>
      </c>
      <c r="J156" s="3">
        <v>141263.56</v>
      </c>
      <c r="K156" s="54">
        <f t="shared" si="17"/>
        <v>2.3792371742558903E-3</v>
      </c>
      <c r="L156" s="3">
        <v>14.9</v>
      </c>
      <c r="M156" s="55">
        <f t="shared" si="12"/>
        <v>5.513106415402369E-4</v>
      </c>
    </row>
    <row r="157" spans="1:13" x14ac:dyDescent="0.35">
      <c r="A157" s="9">
        <v>45845</v>
      </c>
      <c r="B157" s="3">
        <v>6.3927830832000003</v>
      </c>
      <c r="C157" s="29">
        <f t="shared" si="13"/>
        <v>1.5302221837860514E-3</v>
      </c>
      <c r="D157" s="3">
        <v>9.57</v>
      </c>
      <c r="E157" s="48">
        <f t="shared" si="14"/>
        <v>-2.37491802116634E-2</v>
      </c>
      <c r="F157" s="3">
        <v>22.06</v>
      </c>
      <c r="G157" s="50">
        <f t="shared" si="15"/>
        <v>-1.6633334706760608E-2</v>
      </c>
      <c r="H157" s="3">
        <v>32.872613115</v>
      </c>
      <c r="I157" s="52">
        <f t="shared" si="16"/>
        <v>-1.1346792405069651E-2</v>
      </c>
      <c r="J157" s="3">
        <v>139489.70000000001</v>
      </c>
      <c r="K157" s="54">
        <f t="shared" si="17"/>
        <v>-1.2636602008819895E-2</v>
      </c>
      <c r="L157" s="3">
        <v>14.9</v>
      </c>
      <c r="M157" s="55">
        <f t="shared" si="12"/>
        <v>5.513106415402369E-4</v>
      </c>
    </row>
    <row r="158" spans="1:13" x14ac:dyDescent="0.35">
      <c r="A158" s="9">
        <v>45846</v>
      </c>
      <c r="B158" s="3">
        <v>6.6860300135999999</v>
      </c>
      <c r="C158" s="29">
        <f t="shared" si="13"/>
        <v>4.4850566162058424E-2</v>
      </c>
      <c r="D158" s="3">
        <v>9.59</v>
      </c>
      <c r="E158" s="48">
        <f t="shared" si="14"/>
        <v>2.087683430483895E-3</v>
      </c>
      <c r="F158" s="3">
        <v>22</v>
      </c>
      <c r="G158" s="50">
        <f t="shared" si="15"/>
        <v>-2.7235604670404925E-3</v>
      </c>
      <c r="H158" s="3">
        <v>32.773896559000001</v>
      </c>
      <c r="I158" s="52">
        <f t="shared" si="16"/>
        <v>-3.007521066978997E-3</v>
      </c>
      <c r="J158" s="3">
        <v>139302.85</v>
      </c>
      <c r="K158" s="54">
        <f t="shared" si="17"/>
        <v>-1.340423393499335E-3</v>
      </c>
      <c r="L158" s="3">
        <v>14.9</v>
      </c>
      <c r="M158" s="55">
        <f t="shared" si="12"/>
        <v>5.513106415402369E-4</v>
      </c>
    </row>
    <row r="159" spans="1:13" x14ac:dyDescent="0.35">
      <c r="A159" s="9">
        <v>45847</v>
      </c>
      <c r="B159" s="3">
        <v>6.4025579809000002</v>
      </c>
      <c r="C159" s="29">
        <f t="shared" si="13"/>
        <v>-4.3322681980996147E-2</v>
      </c>
      <c r="D159" s="3">
        <v>9.4499999999999993</v>
      </c>
      <c r="E159" s="48">
        <f t="shared" si="14"/>
        <v>-1.4706147389695562E-2</v>
      </c>
      <c r="F159" s="3">
        <v>21.45</v>
      </c>
      <c r="G159" s="50">
        <f t="shared" si="15"/>
        <v>-2.5317807984289897E-2</v>
      </c>
      <c r="H159" s="3">
        <v>32.053265701000001</v>
      </c>
      <c r="I159" s="52">
        <f t="shared" si="16"/>
        <v>-2.2233289805367262E-2</v>
      </c>
      <c r="J159" s="3">
        <v>137480.79</v>
      </c>
      <c r="K159" s="54">
        <f t="shared" si="17"/>
        <v>-1.316614176103318E-2</v>
      </c>
      <c r="L159" s="3">
        <v>14.9</v>
      </c>
      <c r="M159" s="55">
        <f t="shared" si="12"/>
        <v>5.513106415402369E-4</v>
      </c>
    </row>
    <row r="160" spans="1:13" x14ac:dyDescent="0.35">
      <c r="A160" s="9">
        <v>45848</v>
      </c>
      <c r="B160" s="3">
        <v>6.3830081854999996</v>
      </c>
      <c r="C160" s="29">
        <f t="shared" si="13"/>
        <v>-3.0581063648483712E-3</v>
      </c>
      <c r="D160" s="3">
        <v>9.34</v>
      </c>
      <c r="E160" s="48">
        <f t="shared" si="14"/>
        <v>-1.1708489264900054E-2</v>
      </c>
      <c r="F160" s="3">
        <v>21.21</v>
      </c>
      <c r="G160" s="50">
        <f t="shared" si="15"/>
        <v>-1.1251876797434808E-2</v>
      </c>
      <c r="H160" s="3">
        <v>31.293148220999999</v>
      </c>
      <c r="I160" s="52">
        <f t="shared" si="16"/>
        <v>-2.3999905217574127E-2</v>
      </c>
      <c r="J160" s="3">
        <v>136743.26</v>
      </c>
      <c r="K160" s="54">
        <f t="shared" si="17"/>
        <v>-5.3790451881569152E-3</v>
      </c>
      <c r="L160" s="3">
        <v>14.9</v>
      </c>
      <c r="M160" s="55">
        <f t="shared" si="12"/>
        <v>5.513106415402369E-4</v>
      </c>
    </row>
    <row r="161" spans="1:13" x14ac:dyDescent="0.35">
      <c r="A161" s="9">
        <v>45849</v>
      </c>
      <c r="B161" s="3">
        <v>6.2950341064000002</v>
      </c>
      <c r="C161" s="29">
        <f t="shared" si="13"/>
        <v>-1.3878403167893147E-2</v>
      </c>
      <c r="D161" s="3">
        <v>9.11</v>
      </c>
      <c r="E161" s="48">
        <f t="shared" si="14"/>
        <v>-2.4933540968884376E-2</v>
      </c>
      <c r="F161" s="3">
        <v>21.14</v>
      </c>
      <c r="G161" s="50">
        <f t="shared" si="15"/>
        <v>-3.3057881344995439E-3</v>
      </c>
      <c r="H161" s="3">
        <v>31.194431665</v>
      </c>
      <c r="I161" s="52">
        <f t="shared" si="16"/>
        <v>-3.1595602935034269E-3</v>
      </c>
      <c r="J161" s="3">
        <v>136187.31</v>
      </c>
      <c r="K161" s="54">
        <f t="shared" si="17"/>
        <v>-4.0739354988536406E-3</v>
      </c>
      <c r="L161" s="3">
        <v>14.9</v>
      </c>
      <c r="M161" s="55">
        <f t="shared" si="12"/>
        <v>5.513106415402369E-4</v>
      </c>
    </row>
    <row r="162" spans="1:13" x14ac:dyDescent="0.35">
      <c r="A162" s="9">
        <v>45852</v>
      </c>
      <c r="B162" s="3">
        <v>6.2657094133999998</v>
      </c>
      <c r="C162" s="29">
        <f t="shared" si="13"/>
        <v>-4.6692691769427992E-3</v>
      </c>
      <c r="D162" s="3">
        <v>9.1199999999999992</v>
      </c>
      <c r="E162" s="48">
        <f t="shared" si="14"/>
        <v>1.097092814373149E-3</v>
      </c>
      <c r="F162" s="3">
        <v>20.68</v>
      </c>
      <c r="G162" s="50">
        <f t="shared" si="15"/>
        <v>-2.1999930801863243E-2</v>
      </c>
      <c r="H162" s="3">
        <v>30.927896963999999</v>
      </c>
      <c r="I162" s="52">
        <f t="shared" si="16"/>
        <v>-8.5810156308637042E-3</v>
      </c>
      <c r="J162" s="3">
        <v>135298.99</v>
      </c>
      <c r="K162" s="54">
        <f t="shared" si="17"/>
        <v>-6.5441473124330761E-3</v>
      </c>
      <c r="L162" s="3">
        <v>14.9</v>
      </c>
      <c r="M162" s="55">
        <f t="shared" si="12"/>
        <v>5.513106415402369E-4</v>
      </c>
    </row>
    <row r="163" spans="1:13" x14ac:dyDescent="0.35">
      <c r="A163" s="9">
        <v>45853</v>
      </c>
      <c r="B163" s="3">
        <v>6.4416575716000004</v>
      </c>
      <c r="C163" s="29">
        <f t="shared" si="13"/>
        <v>2.7694077573360884E-2</v>
      </c>
      <c r="D163" s="3">
        <v>9.14</v>
      </c>
      <c r="E163" s="48">
        <f t="shared" si="14"/>
        <v>2.1905813798186818E-3</v>
      </c>
      <c r="F163" s="3">
        <v>20.9</v>
      </c>
      <c r="G163" s="50">
        <f t="shared" si="15"/>
        <v>1.0582109330536788E-2</v>
      </c>
      <c r="H163" s="3">
        <v>31.006870208999999</v>
      </c>
      <c r="I163" s="52">
        <f t="shared" si="16"/>
        <v>2.5502085954415398E-3</v>
      </c>
      <c r="J163" s="3">
        <v>135250.1</v>
      </c>
      <c r="K163" s="54">
        <f t="shared" si="17"/>
        <v>-3.6141315819725688E-4</v>
      </c>
      <c r="L163" s="3">
        <v>14.9</v>
      </c>
      <c r="M163" s="55">
        <f t="shared" si="12"/>
        <v>5.513106415402369E-4</v>
      </c>
    </row>
    <row r="164" spans="1:13" x14ac:dyDescent="0.35">
      <c r="A164" s="9">
        <v>45854</v>
      </c>
      <c r="B164" s="3">
        <v>6.3927830832000003</v>
      </c>
      <c r="C164" s="29">
        <f t="shared" si="13"/>
        <v>-7.6161830447388622E-3</v>
      </c>
      <c r="D164" s="3">
        <v>9</v>
      </c>
      <c r="E164" s="48">
        <f t="shared" si="14"/>
        <v>-1.5435808129839362E-2</v>
      </c>
      <c r="F164" s="3">
        <v>20.88</v>
      </c>
      <c r="G164" s="50">
        <f t="shared" si="15"/>
        <v>-9.5739595632733264E-4</v>
      </c>
      <c r="H164" s="3">
        <v>31.11545842</v>
      </c>
      <c r="I164" s="52">
        <f t="shared" si="16"/>
        <v>3.4959514232842143E-3</v>
      </c>
      <c r="J164" s="3">
        <v>135510.99</v>
      </c>
      <c r="K164" s="54">
        <f t="shared" si="17"/>
        <v>1.9270869439780792E-3</v>
      </c>
      <c r="L164" s="3">
        <v>14.9</v>
      </c>
      <c r="M164" s="55">
        <f t="shared" si="12"/>
        <v>5.513106415402369E-4</v>
      </c>
    </row>
    <row r="165" spans="1:13" x14ac:dyDescent="0.35">
      <c r="A165" s="9">
        <v>45855</v>
      </c>
      <c r="B165" s="3">
        <v>6.3927830832000003</v>
      </c>
      <c r="C165" s="29">
        <f t="shared" si="13"/>
        <v>0</v>
      </c>
      <c r="D165" s="3">
        <v>8.99</v>
      </c>
      <c r="E165" s="48">
        <f t="shared" si="14"/>
        <v>-1.1117288526904293E-3</v>
      </c>
      <c r="F165" s="3">
        <v>20.74</v>
      </c>
      <c r="G165" s="50">
        <f t="shared" si="15"/>
        <v>-6.7275602130567567E-3</v>
      </c>
      <c r="H165" s="3">
        <v>31.520196298999998</v>
      </c>
      <c r="I165" s="52">
        <f t="shared" si="16"/>
        <v>1.2923741730852379E-2</v>
      </c>
      <c r="J165" s="3">
        <v>135564.74</v>
      </c>
      <c r="K165" s="54">
        <f t="shared" si="17"/>
        <v>3.9656815240827532E-4</v>
      </c>
      <c r="L165" s="3">
        <v>14.9</v>
      </c>
      <c r="M165" s="55">
        <f t="shared" si="12"/>
        <v>5.513106415402369E-4</v>
      </c>
    </row>
    <row r="166" spans="1:13" x14ac:dyDescent="0.35">
      <c r="A166" s="9">
        <v>45856</v>
      </c>
      <c r="B166" s="3">
        <v>6.2950341064000002</v>
      </c>
      <c r="C166" s="29">
        <f t="shared" si="13"/>
        <v>-1.540862535167916E-2</v>
      </c>
      <c r="D166" s="3">
        <v>8.94</v>
      </c>
      <c r="E166" s="48">
        <f t="shared" si="14"/>
        <v>-5.5772592981062647E-3</v>
      </c>
      <c r="F166" s="3">
        <v>20.260000000000002</v>
      </c>
      <c r="G166" s="50">
        <f t="shared" si="15"/>
        <v>-2.3415703980843802E-2</v>
      </c>
      <c r="H166" s="3">
        <v>30.957511930999999</v>
      </c>
      <c r="I166" s="52">
        <f t="shared" si="16"/>
        <v>-1.8012811224058081E-2</v>
      </c>
      <c r="J166" s="3">
        <v>133381.57999999999</v>
      </c>
      <c r="K166" s="54">
        <f t="shared" si="17"/>
        <v>-1.6235269206288511E-2</v>
      </c>
      <c r="L166" s="3">
        <v>14.9</v>
      </c>
      <c r="M166" s="55">
        <f t="shared" si="12"/>
        <v>5.513106415402369E-4</v>
      </c>
    </row>
    <row r="167" spans="1:13" x14ac:dyDescent="0.35">
      <c r="A167" s="9">
        <v>45859</v>
      </c>
      <c r="B167" s="3">
        <v>6.3536834925000001</v>
      </c>
      <c r="C167" s="29">
        <f t="shared" si="13"/>
        <v>9.2736367877731766E-3</v>
      </c>
      <c r="D167" s="3">
        <v>9.0500000000000007</v>
      </c>
      <c r="E167" s="48">
        <f t="shared" si="14"/>
        <v>1.2229168526412162E-2</v>
      </c>
      <c r="F167" s="3">
        <v>19.86</v>
      </c>
      <c r="G167" s="50">
        <f t="shared" si="15"/>
        <v>-1.9940840203510848E-2</v>
      </c>
      <c r="H167" s="3">
        <v>31.293148220999999</v>
      </c>
      <c r="I167" s="52">
        <f t="shared" si="16"/>
        <v>1.0783485398847215E-2</v>
      </c>
      <c r="J167" s="3">
        <v>134166.72</v>
      </c>
      <c r="K167" s="54">
        <f t="shared" si="17"/>
        <v>5.869162718007641E-3</v>
      </c>
      <c r="L167" s="3">
        <v>14.9</v>
      </c>
      <c r="M167" s="55">
        <f t="shared" si="12"/>
        <v>5.513106415402369E-4</v>
      </c>
    </row>
    <row r="168" spans="1:13" x14ac:dyDescent="0.35">
      <c r="A168" s="9">
        <v>45860</v>
      </c>
      <c r="B168" s="3">
        <v>6.3927830832000003</v>
      </c>
      <c r="C168" s="29">
        <f t="shared" si="13"/>
        <v>6.1349885639061597E-3</v>
      </c>
      <c r="D168" s="3">
        <v>9.42</v>
      </c>
      <c r="E168" s="48">
        <f t="shared" si="14"/>
        <v>4.0070330876436772E-2</v>
      </c>
      <c r="F168" s="3">
        <v>19.89</v>
      </c>
      <c r="G168" s="50">
        <f t="shared" si="15"/>
        <v>1.5094342488543404E-3</v>
      </c>
      <c r="H168" s="3">
        <v>30.858795375</v>
      </c>
      <c r="I168" s="52">
        <f t="shared" si="16"/>
        <v>-1.3977355890885786E-2</v>
      </c>
      <c r="J168" s="3">
        <v>134035.72</v>
      </c>
      <c r="K168" s="54">
        <f t="shared" si="17"/>
        <v>-9.7687411358070883E-4</v>
      </c>
      <c r="L168" s="3">
        <v>14.9</v>
      </c>
      <c r="M168" s="55">
        <f t="shared" si="12"/>
        <v>5.513106415402369E-4</v>
      </c>
    </row>
    <row r="169" spans="1:13" x14ac:dyDescent="0.35">
      <c r="A169" s="9">
        <v>45861</v>
      </c>
      <c r="B169" s="3">
        <v>6.5003069577000003</v>
      </c>
      <c r="C169" s="29">
        <f t="shared" si="13"/>
        <v>1.6679689200490136E-2</v>
      </c>
      <c r="D169" s="3">
        <v>9.7200000000000006</v>
      </c>
      <c r="E169" s="48">
        <f t="shared" si="14"/>
        <v>3.1350529884076009E-2</v>
      </c>
      <c r="F169" s="3">
        <v>20.21</v>
      </c>
      <c r="G169" s="50">
        <f t="shared" si="15"/>
        <v>1.5960438549648754E-2</v>
      </c>
      <c r="H169" s="3">
        <v>31.362249810000002</v>
      </c>
      <c r="I169" s="52">
        <f t="shared" si="16"/>
        <v>1.6183123284881161E-2</v>
      </c>
      <c r="J169" s="3">
        <v>135368.26999999999</v>
      </c>
      <c r="K169" s="54">
        <f t="shared" si="17"/>
        <v>9.8926587349288247E-3</v>
      </c>
      <c r="L169" s="3">
        <v>14.9</v>
      </c>
      <c r="M169" s="55">
        <f t="shared" si="12"/>
        <v>5.513106415402369E-4</v>
      </c>
    </row>
    <row r="170" spans="1:13" x14ac:dyDescent="0.35">
      <c r="A170" s="9">
        <v>45862</v>
      </c>
      <c r="B170" s="3">
        <v>6.4905320599999996</v>
      </c>
      <c r="C170" s="29">
        <f t="shared" si="13"/>
        <v>-1.5048911823859232E-3</v>
      </c>
      <c r="D170" s="3">
        <v>9.76</v>
      </c>
      <c r="E170" s="48">
        <f t="shared" si="14"/>
        <v>4.1067819526532812E-3</v>
      </c>
      <c r="F170" s="3">
        <v>20.07</v>
      </c>
      <c r="G170" s="50">
        <f t="shared" si="15"/>
        <v>-6.9513686072828502E-3</v>
      </c>
      <c r="H170" s="3">
        <v>30.868667030000001</v>
      </c>
      <c r="I170" s="52">
        <f t="shared" si="16"/>
        <v>-1.5863276827581905E-2</v>
      </c>
      <c r="J170" s="3">
        <v>133807.59</v>
      </c>
      <c r="K170" s="54">
        <f t="shared" si="17"/>
        <v>-1.1596117784662874E-2</v>
      </c>
      <c r="L170" s="3">
        <v>14.9</v>
      </c>
      <c r="M170" s="55">
        <f t="shared" si="12"/>
        <v>5.513106415402369E-4</v>
      </c>
    </row>
    <row r="171" spans="1:13" x14ac:dyDescent="0.35">
      <c r="A171" s="9">
        <v>45863</v>
      </c>
      <c r="B171" s="3">
        <v>6.5589563438000003</v>
      </c>
      <c r="C171" s="29">
        <f t="shared" si="13"/>
        <v>1.0486987500575161E-2</v>
      </c>
      <c r="D171" s="3">
        <v>9.6</v>
      </c>
      <c r="E171" s="48">
        <f t="shared" si="14"/>
        <v>-1.6529301951210582E-2</v>
      </c>
      <c r="F171" s="3">
        <v>20.239999999999998</v>
      </c>
      <c r="G171" s="50">
        <f t="shared" si="15"/>
        <v>8.4346816110180221E-3</v>
      </c>
      <c r="H171" s="3">
        <v>31.056228486999998</v>
      </c>
      <c r="I171" s="52">
        <f t="shared" si="16"/>
        <v>6.0577261858058909E-3</v>
      </c>
      <c r="J171" s="3">
        <v>133524.18</v>
      </c>
      <c r="K171" s="54">
        <f t="shared" si="17"/>
        <v>-2.1202875077307574E-3</v>
      </c>
      <c r="L171" s="3">
        <v>14.9</v>
      </c>
      <c r="M171" s="55">
        <f t="shared" si="12"/>
        <v>5.513106415402369E-4</v>
      </c>
    </row>
    <row r="172" spans="1:13" x14ac:dyDescent="0.35">
      <c r="A172" s="9">
        <v>45866</v>
      </c>
      <c r="B172" s="3">
        <v>6.4416575716000004</v>
      </c>
      <c r="C172" s="29">
        <f t="shared" si="13"/>
        <v>-1.8045602473940495E-2</v>
      </c>
      <c r="D172" s="3">
        <v>9.32</v>
      </c>
      <c r="E172" s="48">
        <f t="shared" si="14"/>
        <v>-2.9600469776290633E-2</v>
      </c>
      <c r="F172" s="3">
        <v>19.940000000000001</v>
      </c>
      <c r="G172" s="50">
        <f t="shared" si="15"/>
        <v>-1.4933079885572437E-2</v>
      </c>
      <c r="H172" s="3">
        <v>30.404699218000001</v>
      </c>
      <c r="I172" s="52">
        <f t="shared" si="16"/>
        <v>-2.1202207651982916E-2</v>
      </c>
      <c r="J172" s="3">
        <v>132129.26</v>
      </c>
      <c r="K172" s="54">
        <f t="shared" si="17"/>
        <v>-1.0501899169387168E-2</v>
      </c>
      <c r="L172" s="3">
        <v>14.9</v>
      </c>
      <c r="M172" s="55">
        <f t="shared" si="12"/>
        <v>5.513106415402369E-4</v>
      </c>
    </row>
    <row r="173" spans="1:13" x14ac:dyDescent="0.35">
      <c r="A173" s="9">
        <v>45867</v>
      </c>
      <c r="B173" s="3">
        <v>6.3830081854999996</v>
      </c>
      <c r="C173" s="29">
        <f t="shared" si="13"/>
        <v>-9.146405228524947E-3</v>
      </c>
      <c r="D173" s="3">
        <v>9.2200000000000006</v>
      </c>
      <c r="E173" s="48">
        <f t="shared" si="14"/>
        <v>-1.0787591128997352E-2</v>
      </c>
      <c r="F173" s="3">
        <v>19.95</v>
      </c>
      <c r="G173" s="50">
        <f t="shared" si="15"/>
        <v>5.0137880218015447E-4</v>
      </c>
      <c r="H173" s="3">
        <v>30.582389018000001</v>
      </c>
      <c r="I173" s="52">
        <f t="shared" si="16"/>
        <v>5.8271449887677372E-3</v>
      </c>
      <c r="J173" s="3">
        <v>132725.68</v>
      </c>
      <c r="K173" s="54">
        <f t="shared" si="17"/>
        <v>4.5037559664864221E-3</v>
      </c>
      <c r="L173" s="3">
        <v>14.9</v>
      </c>
      <c r="M173" s="55">
        <f t="shared" si="12"/>
        <v>5.513106415402369E-4</v>
      </c>
    </row>
    <row r="174" spans="1:13" x14ac:dyDescent="0.35">
      <c r="A174" s="9">
        <v>45868</v>
      </c>
      <c r="B174" s="3">
        <v>6.4025579809000002</v>
      </c>
      <c r="C174" s="29">
        <f t="shared" si="13"/>
        <v>3.058106364848464E-3</v>
      </c>
      <c r="D174" s="3">
        <v>9.44</v>
      </c>
      <c r="E174" s="48">
        <f t="shared" si="14"/>
        <v>2.3580942588906664E-2</v>
      </c>
      <c r="F174" s="3">
        <v>19.899999999999999</v>
      </c>
      <c r="G174" s="50">
        <f t="shared" si="15"/>
        <v>-2.5094116054258072E-3</v>
      </c>
      <c r="H174" s="3">
        <v>30.848923718999998</v>
      </c>
      <c r="I174" s="52">
        <f t="shared" si="16"/>
        <v>8.6775411959060869E-3</v>
      </c>
      <c r="J174" s="3">
        <v>133989.74</v>
      </c>
      <c r="K174" s="54">
        <f t="shared" si="17"/>
        <v>9.4787880233062807E-3</v>
      </c>
      <c r="L174" s="3">
        <v>14.9</v>
      </c>
      <c r="M174" s="55">
        <f t="shared" si="12"/>
        <v>5.513106415402369E-4</v>
      </c>
    </row>
    <row r="175" spans="1:13" x14ac:dyDescent="0.35">
      <c r="A175" s="9">
        <v>45869</v>
      </c>
      <c r="B175" s="3">
        <v>6.5003069577000003</v>
      </c>
      <c r="C175" s="29">
        <f t="shared" si="13"/>
        <v>1.5151805019427797E-2</v>
      </c>
      <c r="D175" s="3">
        <v>9.27</v>
      </c>
      <c r="E175" s="48">
        <f t="shared" si="14"/>
        <v>-1.8172600579645544E-2</v>
      </c>
      <c r="F175" s="3">
        <v>19.7</v>
      </c>
      <c r="G175" s="50">
        <f t="shared" si="15"/>
        <v>-1.0101095986503821E-2</v>
      </c>
      <c r="H175" s="3">
        <v>30.927896963999999</v>
      </c>
      <c r="I175" s="52">
        <f t="shared" si="16"/>
        <v>2.5567287907224978E-3</v>
      </c>
      <c r="J175" s="3">
        <v>133071.04999999999</v>
      </c>
      <c r="K175" s="54">
        <f t="shared" si="17"/>
        <v>-6.8800337468935078E-3</v>
      </c>
      <c r="L175" s="3">
        <v>14.9</v>
      </c>
      <c r="M175" s="55">
        <f t="shared" si="12"/>
        <v>5.513106415402369E-4</v>
      </c>
    </row>
    <row r="176" spans="1:13" x14ac:dyDescent="0.35">
      <c r="A176" s="9">
        <v>45870</v>
      </c>
      <c r="B176" s="3">
        <v>6.8522032741999999</v>
      </c>
      <c r="C176" s="29">
        <f t="shared" si="13"/>
        <v>5.2720846377704481E-2</v>
      </c>
      <c r="D176" s="3">
        <v>9.65</v>
      </c>
      <c r="E176" s="48">
        <f t="shared" si="14"/>
        <v>4.01745357731308E-2</v>
      </c>
      <c r="F176" s="3">
        <v>18.350000000000001</v>
      </c>
      <c r="G176" s="50">
        <f t="shared" si="15"/>
        <v>-7.098906124336346E-2</v>
      </c>
      <c r="H176" s="3">
        <v>30.807049177</v>
      </c>
      <c r="I176" s="52">
        <f t="shared" si="16"/>
        <v>-3.9150578048163659E-3</v>
      </c>
      <c r="J176" s="3">
        <v>132437.39000000001</v>
      </c>
      <c r="K176" s="54">
        <f t="shared" si="17"/>
        <v>-4.7731906607132264E-3</v>
      </c>
      <c r="L176" s="3">
        <v>14.9</v>
      </c>
      <c r="M176" s="55">
        <f t="shared" si="12"/>
        <v>5.513106415402369E-4</v>
      </c>
    </row>
    <row r="177" spans="1:13" x14ac:dyDescent="0.35">
      <c r="A177" s="9">
        <v>45873</v>
      </c>
      <c r="B177" s="3">
        <v>6.7740040928000003</v>
      </c>
      <c r="C177" s="29">
        <f t="shared" si="13"/>
        <v>-1.1477887837905841E-2</v>
      </c>
      <c r="D177" s="3">
        <v>9.73</v>
      </c>
      <c r="E177" s="48">
        <f t="shared" si="14"/>
        <v>8.2559808470190777E-3</v>
      </c>
      <c r="F177" s="3">
        <v>18.72</v>
      </c>
      <c r="G177" s="50">
        <f t="shared" si="15"/>
        <v>1.9962896548866675E-2</v>
      </c>
      <c r="H177" s="3">
        <v>31.162629097</v>
      </c>
      <c r="I177" s="52">
        <f t="shared" si="16"/>
        <v>1.1476058368621365E-2</v>
      </c>
      <c r="J177" s="3">
        <v>132971.20000000001</v>
      </c>
      <c r="K177" s="54">
        <f t="shared" si="17"/>
        <v>4.0225579721958095E-3</v>
      </c>
      <c r="L177" s="3">
        <v>14.9</v>
      </c>
      <c r="M177" s="55">
        <f t="shared" si="12"/>
        <v>5.513106415402369E-4</v>
      </c>
    </row>
    <row r="178" spans="1:13" x14ac:dyDescent="0.35">
      <c r="A178" s="9">
        <v>45874</v>
      </c>
      <c r="B178" s="3">
        <v>6.9401773533000002</v>
      </c>
      <c r="C178" s="29">
        <f t="shared" si="13"/>
        <v>2.423497083483309E-2</v>
      </c>
      <c r="D178" s="3">
        <v>9.56</v>
      </c>
      <c r="E178" s="48">
        <f t="shared" si="14"/>
        <v>-1.7626169134603745E-2</v>
      </c>
      <c r="F178" s="3">
        <v>18.62</v>
      </c>
      <c r="G178" s="50">
        <f t="shared" si="15"/>
        <v>-5.3561992005248466E-3</v>
      </c>
      <c r="H178" s="3">
        <v>31.340419056999998</v>
      </c>
      <c r="I178" s="52">
        <f t="shared" si="16"/>
        <v>5.6890166084281402E-3</v>
      </c>
      <c r="J178" s="3">
        <v>133151.29999999999</v>
      </c>
      <c r="K178" s="54">
        <f t="shared" si="17"/>
        <v>1.35351221708182E-3</v>
      </c>
      <c r="L178" s="3">
        <v>14.9</v>
      </c>
      <c r="M178" s="55">
        <f t="shared" si="12"/>
        <v>5.513106415402369E-4</v>
      </c>
    </row>
    <row r="179" spans="1:13" x14ac:dyDescent="0.35">
      <c r="A179" s="9">
        <v>45875</v>
      </c>
      <c r="B179" s="3">
        <v>6.9695020463999997</v>
      </c>
      <c r="C179" s="29">
        <f t="shared" si="13"/>
        <v>4.2164503872406146E-3</v>
      </c>
      <c r="D179" s="3">
        <v>9.85</v>
      </c>
      <c r="E179" s="48">
        <f t="shared" si="14"/>
        <v>2.9883728120687496E-2</v>
      </c>
      <c r="F179" s="3">
        <v>18.7</v>
      </c>
      <c r="G179" s="50">
        <f t="shared" si="15"/>
        <v>4.2872520116197703E-3</v>
      </c>
      <c r="H179" s="3">
        <v>31.903420597</v>
      </c>
      <c r="I179" s="52">
        <f t="shared" si="16"/>
        <v>1.7804624635195856E-2</v>
      </c>
      <c r="J179" s="3">
        <v>134537.62</v>
      </c>
      <c r="K179" s="54">
        <f t="shared" si="17"/>
        <v>1.0357786897655803E-2</v>
      </c>
      <c r="L179" s="3">
        <v>14.9</v>
      </c>
      <c r="M179" s="55">
        <f t="shared" si="12"/>
        <v>5.513106415402369E-4</v>
      </c>
    </row>
    <row r="180" spans="1:13" x14ac:dyDescent="0.35">
      <c r="A180" s="9">
        <v>45876</v>
      </c>
      <c r="B180" s="3">
        <v>7.0379263301000003</v>
      </c>
      <c r="C180" s="29">
        <f t="shared" si="13"/>
        <v>9.7697915864988025E-3</v>
      </c>
      <c r="D180" s="3">
        <v>9.92</v>
      </c>
      <c r="E180" s="48">
        <f t="shared" si="14"/>
        <v>7.0814661127839547E-3</v>
      </c>
      <c r="F180" s="3">
        <v>18.91</v>
      </c>
      <c r="G180" s="50">
        <f t="shared" si="15"/>
        <v>1.1167358809825187E-2</v>
      </c>
      <c r="H180" s="3">
        <v>32.318263837000003</v>
      </c>
      <c r="I180" s="52">
        <f t="shared" si="16"/>
        <v>1.2919281507142657E-2</v>
      </c>
      <c r="J180" s="3">
        <v>136527.60999999999</v>
      </c>
      <c r="K180" s="54">
        <f t="shared" si="17"/>
        <v>1.468300269860829E-2</v>
      </c>
      <c r="L180" s="3">
        <v>14.9</v>
      </c>
      <c r="M180" s="55">
        <f t="shared" si="12"/>
        <v>5.513106415402369E-4</v>
      </c>
    </row>
    <row r="181" spans="1:13" x14ac:dyDescent="0.35">
      <c r="A181" s="9">
        <v>45877</v>
      </c>
      <c r="B181" s="3">
        <v>6.9108526602999998</v>
      </c>
      <c r="C181" s="29">
        <f t="shared" si="13"/>
        <v>-1.8220546106433991E-2</v>
      </c>
      <c r="D181" s="3">
        <v>9.74</v>
      </c>
      <c r="E181" s="48">
        <f t="shared" si="14"/>
        <v>-1.8311803642337619E-2</v>
      </c>
      <c r="F181" s="3">
        <v>18.93</v>
      </c>
      <c r="G181" s="50">
        <f t="shared" si="15"/>
        <v>1.0570825508652622E-3</v>
      </c>
      <c r="H181" s="3">
        <v>32.644212097</v>
      </c>
      <c r="I181" s="52">
        <f t="shared" si="16"/>
        <v>1.003505456407575E-2</v>
      </c>
      <c r="J181" s="3">
        <v>135913.25</v>
      </c>
      <c r="K181" s="54">
        <f t="shared" si="17"/>
        <v>-4.5100506683788044E-3</v>
      </c>
      <c r="L181" s="3">
        <v>14.9</v>
      </c>
      <c r="M181" s="55">
        <f t="shared" si="12"/>
        <v>5.513106415402369E-4</v>
      </c>
    </row>
    <row r="182" spans="1:13" x14ac:dyDescent="0.35">
      <c r="A182" s="9">
        <v>45880</v>
      </c>
      <c r="B182" s="3">
        <v>6.8424283765</v>
      </c>
      <c r="C182" s="29">
        <f t="shared" si="13"/>
        <v>-9.9503308582325565E-3</v>
      </c>
      <c r="D182" s="3">
        <v>9.6</v>
      </c>
      <c r="E182" s="48">
        <f t="shared" si="14"/>
        <v>-1.4478019180653225E-2</v>
      </c>
      <c r="F182" s="3">
        <v>19.100000000000001</v>
      </c>
      <c r="G182" s="50">
        <f t="shared" si="15"/>
        <v>8.9403698313528217E-3</v>
      </c>
      <c r="H182" s="3">
        <v>32.831879276999999</v>
      </c>
      <c r="I182" s="52">
        <f t="shared" si="16"/>
        <v>5.7324036900774306E-3</v>
      </c>
      <c r="J182" s="3">
        <v>135623.15</v>
      </c>
      <c r="K182" s="54">
        <f t="shared" si="17"/>
        <v>-2.1367309161779697E-3</v>
      </c>
      <c r="L182" s="3">
        <v>14.9</v>
      </c>
      <c r="M182" s="55">
        <f t="shared" si="12"/>
        <v>5.513106415402369E-4</v>
      </c>
    </row>
    <row r="183" spans="1:13" x14ac:dyDescent="0.35">
      <c r="A183" s="9">
        <v>45881</v>
      </c>
      <c r="B183" s="3">
        <v>6.9988267394000001</v>
      </c>
      <c r="C183" s="29">
        <f t="shared" si="13"/>
        <v>2.2599831918465558E-2</v>
      </c>
      <c r="D183" s="3">
        <v>9.69</v>
      </c>
      <c r="E183" s="48">
        <f t="shared" si="14"/>
        <v>9.3313274288842219E-3</v>
      </c>
      <c r="F183" s="3">
        <v>19.239999999999998</v>
      </c>
      <c r="G183" s="50">
        <f t="shared" si="15"/>
        <v>7.3031101849761288E-3</v>
      </c>
      <c r="H183" s="3">
        <v>33.483775797</v>
      </c>
      <c r="I183" s="52">
        <f t="shared" si="16"/>
        <v>1.9661044400936196E-2</v>
      </c>
      <c r="J183" s="3">
        <v>137913.68</v>
      </c>
      <c r="K183" s="54">
        <f t="shared" si="17"/>
        <v>1.6747898550858051E-2</v>
      </c>
      <c r="L183" s="3">
        <v>14.9</v>
      </c>
      <c r="M183" s="55">
        <f t="shared" si="12"/>
        <v>5.513106415402369E-4</v>
      </c>
    </row>
    <row r="184" spans="1:13" x14ac:dyDescent="0.35">
      <c r="A184" s="9">
        <v>45882</v>
      </c>
      <c r="B184" s="3">
        <v>6.9010777625999999</v>
      </c>
      <c r="C184" s="29">
        <f t="shared" si="13"/>
        <v>-1.4064929466351126E-2</v>
      </c>
      <c r="D184" s="3">
        <v>9.64</v>
      </c>
      <c r="E184" s="48">
        <f t="shared" si="14"/>
        <v>-5.1733172802205284E-3</v>
      </c>
      <c r="F184" s="3">
        <v>19.28</v>
      </c>
      <c r="G184" s="50">
        <f t="shared" si="15"/>
        <v>2.0768439448392907E-3</v>
      </c>
      <c r="H184" s="3">
        <v>33.325740277000001</v>
      </c>
      <c r="I184" s="52">
        <f t="shared" si="16"/>
        <v>-4.7309372690071119E-3</v>
      </c>
      <c r="J184" s="3">
        <v>136687.32</v>
      </c>
      <c r="K184" s="54">
        <f t="shared" si="17"/>
        <v>-8.9320006358618483E-3</v>
      </c>
      <c r="L184" s="3">
        <v>14.9</v>
      </c>
      <c r="M184" s="55">
        <f t="shared" si="12"/>
        <v>5.513106415402369E-4</v>
      </c>
    </row>
    <row r="185" spans="1:13" x14ac:dyDescent="0.35">
      <c r="A185" s="9">
        <v>45883</v>
      </c>
      <c r="B185" s="3">
        <v>6.9206275579999996</v>
      </c>
      <c r="C185" s="29">
        <f t="shared" si="13"/>
        <v>2.8288562060444986E-3</v>
      </c>
      <c r="D185" s="3">
        <v>9.82</v>
      </c>
      <c r="E185" s="48">
        <f t="shared" si="14"/>
        <v>1.8500013743920209E-2</v>
      </c>
      <c r="F185" s="3">
        <v>19.850000000000001</v>
      </c>
      <c r="G185" s="50">
        <f t="shared" si="15"/>
        <v>2.9135717950799979E-2</v>
      </c>
      <c r="H185" s="3">
        <v>33.444266917</v>
      </c>
      <c r="I185" s="52">
        <f t="shared" si="16"/>
        <v>3.5502995874860561E-3</v>
      </c>
      <c r="J185" s="3">
        <v>136355.78</v>
      </c>
      <c r="K185" s="54">
        <f t="shared" si="17"/>
        <v>-2.4284822648059021E-3</v>
      </c>
      <c r="L185" s="3">
        <v>14.9</v>
      </c>
      <c r="M185" s="55">
        <f t="shared" si="12"/>
        <v>5.513106415402369E-4</v>
      </c>
    </row>
    <row r="186" spans="1:13" x14ac:dyDescent="0.35">
      <c r="A186" s="9">
        <v>45884</v>
      </c>
      <c r="B186" s="3">
        <v>6.9401773533000002</v>
      </c>
      <c r="C186" s="29">
        <f t="shared" si="13"/>
        <v>2.8208763327681129E-3</v>
      </c>
      <c r="D186" s="3">
        <v>9.9499999999999993</v>
      </c>
      <c r="E186" s="48">
        <f t="shared" si="14"/>
        <v>1.3151428804126815E-2</v>
      </c>
      <c r="F186" s="3">
        <v>20.65</v>
      </c>
      <c r="G186" s="50">
        <f t="shared" si="15"/>
        <v>3.9511312273842275E-2</v>
      </c>
      <c r="H186" s="3">
        <v>33.088686997000003</v>
      </c>
      <c r="I186" s="52">
        <f t="shared" si="16"/>
        <v>-1.0688937874932311E-2</v>
      </c>
      <c r="J186" s="3">
        <v>136340.76999999999</v>
      </c>
      <c r="K186" s="54">
        <f t="shared" si="17"/>
        <v>-1.1008573460258612E-4</v>
      </c>
      <c r="L186" s="3">
        <v>14.9</v>
      </c>
      <c r="M186" s="55">
        <f t="shared" si="12"/>
        <v>5.513106415402369E-4</v>
      </c>
    </row>
    <row r="187" spans="1:13" x14ac:dyDescent="0.35">
      <c r="A187" s="9">
        <v>45887</v>
      </c>
      <c r="B187" s="3">
        <v>6.9988267394000001</v>
      </c>
      <c r="C187" s="29">
        <f t="shared" si="13"/>
        <v>8.4151969275383012E-3</v>
      </c>
      <c r="D187" s="3">
        <v>10.42</v>
      </c>
      <c r="E187" s="48">
        <f t="shared" si="14"/>
        <v>4.6154485154719586E-2</v>
      </c>
      <c r="F187" s="3">
        <v>21.07</v>
      </c>
      <c r="G187" s="50">
        <f t="shared" si="15"/>
        <v>2.0134908409056025E-2</v>
      </c>
      <c r="H187" s="3">
        <v>33.325740277000001</v>
      </c>
      <c r="I187" s="52">
        <f t="shared" si="16"/>
        <v>7.1386382874463819E-3</v>
      </c>
      <c r="J187" s="3">
        <v>137321.64000000001</v>
      </c>
      <c r="K187" s="54">
        <f t="shared" si="17"/>
        <v>7.1684978609707394E-3</v>
      </c>
      <c r="L187" s="3">
        <v>14.9</v>
      </c>
      <c r="M187" s="55">
        <f t="shared" si="12"/>
        <v>5.513106415402369E-4</v>
      </c>
    </row>
    <row r="188" spans="1:13" x14ac:dyDescent="0.35">
      <c r="A188" s="9">
        <v>45888</v>
      </c>
      <c r="B188" s="3">
        <v>6.8522032741999999</v>
      </c>
      <c r="C188" s="29">
        <f t="shared" si="13"/>
        <v>-2.1172279924465763E-2</v>
      </c>
      <c r="D188" s="3">
        <v>10.36</v>
      </c>
      <c r="E188" s="48">
        <f t="shared" si="14"/>
        <v>-5.7747994938839083E-3</v>
      </c>
      <c r="F188" s="3">
        <v>19.8</v>
      </c>
      <c r="G188" s="50">
        <f t="shared" si="15"/>
        <v>-6.2168290115608059E-2</v>
      </c>
      <c r="H188" s="3">
        <v>32.410537005000002</v>
      </c>
      <c r="I188" s="52">
        <f t="shared" si="16"/>
        <v>-2.7846493550853463E-2</v>
      </c>
      <c r="J188" s="3">
        <v>134432.26</v>
      </c>
      <c r="K188" s="54">
        <f t="shared" si="17"/>
        <v>-2.1265482376834278E-2</v>
      </c>
      <c r="L188" s="3">
        <v>14.9</v>
      </c>
      <c r="M188" s="55">
        <f t="shared" si="12"/>
        <v>5.513106415402369E-4</v>
      </c>
    </row>
    <row r="189" spans="1:13" x14ac:dyDescent="0.35">
      <c r="A189" s="9">
        <v>45889</v>
      </c>
      <c r="B189" s="3">
        <v>6.9206275579999996</v>
      </c>
      <c r="C189" s="29">
        <f t="shared" si="13"/>
        <v>9.9362066641592497E-3</v>
      </c>
      <c r="D189" s="3">
        <v>10.78</v>
      </c>
      <c r="E189" s="48">
        <f t="shared" si="14"/>
        <v>3.9740328649514121E-2</v>
      </c>
      <c r="F189" s="3">
        <v>19.86</v>
      </c>
      <c r="G189" s="50">
        <f t="shared" si="15"/>
        <v>3.0257209165368902E-3</v>
      </c>
      <c r="H189" s="3">
        <v>32.540338908999999</v>
      </c>
      <c r="I189" s="52">
        <f t="shared" si="16"/>
        <v>3.9969307565775889E-3</v>
      </c>
      <c r="J189" s="3">
        <v>134666.46</v>
      </c>
      <c r="K189" s="54">
        <f t="shared" si="17"/>
        <v>1.7406255899778613E-3</v>
      </c>
      <c r="L189" s="3">
        <v>14.9</v>
      </c>
      <c r="M189" s="55">
        <f t="shared" si="12"/>
        <v>5.513106415402369E-4</v>
      </c>
    </row>
    <row r="190" spans="1:13" x14ac:dyDescent="0.35">
      <c r="A190" s="9">
        <v>45890</v>
      </c>
      <c r="B190" s="3">
        <v>6.9206275579999996</v>
      </c>
      <c r="C190" s="29">
        <f t="shared" si="13"/>
        <v>0</v>
      </c>
      <c r="D190" s="3">
        <v>10.5</v>
      </c>
      <c r="E190" s="48">
        <f t="shared" si="14"/>
        <v>-2.6317308317373302E-2</v>
      </c>
      <c r="F190" s="3">
        <v>19.690000000000001</v>
      </c>
      <c r="G190" s="50">
        <f t="shared" si="15"/>
        <v>-8.5967659659922716E-3</v>
      </c>
      <c r="H190" s="3">
        <v>32.590262717999998</v>
      </c>
      <c r="I190" s="52">
        <f t="shared" si="16"/>
        <v>1.5330372368889797E-3</v>
      </c>
      <c r="J190" s="3">
        <v>134510.85</v>
      </c>
      <c r="K190" s="54">
        <f t="shared" si="17"/>
        <v>-1.1561897051026501E-3</v>
      </c>
      <c r="L190" s="3">
        <v>14.9</v>
      </c>
      <c r="M190" s="55">
        <f t="shared" si="12"/>
        <v>5.513106415402369E-4</v>
      </c>
    </row>
    <row r="191" spans="1:13" x14ac:dyDescent="0.35">
      <c r="A191" s="9">
        <v>45891</v>
      </c>
      <c r="B191" s="3">
        <v>7.1454502046000004</v>
      </c>
      <c r="C191" s="29">
        <f t="shared" si="13"/>
        <v>3.1969366047914977E-2</v>
      </c>
      <c r="D191" s="3">
        <v>10.53</v>
      </c>
      <c r="E191" s="48">
        <f t="shared" si="14"/>
        <v>2.8530689824064807E-3</v>
      </c>
      <c r="F191" s="3">
        <v>20.5</v>
      </c>
      <c r="G191" s="50">
        <f t="shared" si="15"/>
        <v>4.0313993493328246E-2</v>
      </c>
      <c r="H191" s="3">
        <v>33.299180810999999</v>
      </c>
      <c r="I191" s="52">
        <f t="shared" si="16"/>
        <v>2.1519242289408828E-2</v>
      </c>
      <c r="J191" s="3">
        <v>137968.15</v>
      </c>
      <c r="K191" s="54">
        <f t="shared" si="17"/>
        <v>2.5377996484710844E-2</v>
      </c>
      <c r="L191" s="3">
        <v>14.9</v>
      </c>
      <c r="M191" s="55">
        <f t="shared" si="12"/>
        <v>5.513106415402369E-4</v>
      </c>
    </row>
    <row r="192" spans="1:13" x14ac:dyDescent="0.35">
      <c r="A192" s="9">
        <v>45894</v>
      </c>
      <c r="B192" s="3">
        <v>7.1356753069999996</v>
      </c>
      <c r="C192" s="29">
        <f t="shared" si="13"/>
        <v>-1.3689255960308501E-3</v>
      </c>
      <c r="D192" s="3">
        <v>10.72</v>
      </c>
      <c r="E192" s="48">
        <f t="shared" si="14"/>
        <v>1.7882829496771974E-2</v>
      </c>
      <c r="F192" s="3">
        <v>20.05</v>
      </c>
      <c r="G192" s="50">
        <f t="shared" si="15"/>
        <v>-2.2195732391784323E-2</v>
      </c>
      <c r="H192" s="3">
        <v>33.069531288</v>
      </c>
      <c r="I192" s="52">
        <f t="shared" si="16"/>
        <v>-6.9204428495788922E-3</v>
      </c>
      <c r="J192" s="3">
        <v>138025.17000000001</v>
      </c>
      <c r="K192" s="54">
        <f t="shared" si="17"/>
        <v>4.1319841227527841E-4</v>
      </c>
      <c r="L192" s="3">
        <v>14.9</v>
      </c>
      <c r="M192" s="55">
        <f t="shared" si="12"/>
        <v>5.513106415402369E-4</v>
      </c>
    </row>
    <row r="193" spans="1:13" x14ac:dyDescent="0.35">
      <c r="A193" s="9">
        <v>45895</v>
      </c>
      <c r="B193" s="3">
        <v>7.165</v>
      </c>
      <c r="C193" s="29">
        <f t="shared" si="13"/>
        <v>4.1011677382879457E-3</v>
      </c>
      <c r="D193" s="3">
        <v>10.83</v>
      </c>
      <c r="E193" s="48">
        <f t="shared" si="14"/>
        <v>1.0208905370243274E-2</v>
      </c>
      <c r="F193" s="3">
        <v>20.38</v>
      </c>
      <c r="G193" s="50">
        <f t="shared" si="15"/>
        <v>1.632487404200058E-2</v>
      </c>
      <c r="H193" s="3">
        <v>32.859851288999998</v>
      </c>
      <c r="I193" s="52">
        <f t="shared" si="16"/>
        <v>-6.3607665585025579E-3</v>
      </c>
      <c r="J193" s="3">
        <v>137771.39000000001</v>
      </c>
      <c r="K193" s="54">
        <f t="shared" si="17"/>
        <v>-1.8403425454360522E-3</v>
      </c>
      <c r="L193" s="3">
        <v>14.9</v>
      </c>
      <c r="M193" s="55">
        <f t="shared" si="12"/>
        <v>5.513106415402369E-4</v>
      </c>
    </row>
    <row r="194" spans="1:13" x14ac:dyDescent="0.35">
      <c r="A194" s="9">
        <v>45896</v>
      </c>
      <c r="B194" s="3">
        <v>7.31</v>
      </c>
      <c r="C194" s="29">
        <f t="shared" si="13"/>
        <v>2.0035212481551958E-2</v>
      </c>
      <c r="D194" s="3">
        <v>10.65</v>
      </c>
      <c r="E194" s="48">
        <f t="shared" si="14"/>
        <v>-1.6760168857465077E-2</v>
      </c>
      <c r="F194" s="3">
        <v>20.63</v>
      </c>
      <c r="G194" s="50">
        <f t="shared" si="15"/>
        <v>1.2192299288581626E-2</v>
      </c>
      <c r="H194" s="3">
        <v>33.329135096000002</v>
      </c>
      <c r="I194" s="52">
        <f t="shared" si="16"/>
        <v>1.4180355262522407E-2</v>
      </c>
      <c r="J194" s="3">
        <v>139205.81</v>
      </c>
      <c r="K194" s="54">
        <f t="shared" si="17"/>
        <v>1.0357768250194424E-2</v>
      </c>
      <c r="L194" s="3">
        <v>14.9</v>
      </c>
      <c r="M194" s="55">
        <f t="shared" si="12"/>
        <v>5.513106415402369E-4</v>
      </c>
    </row>
    <row r="195" spans="1:13" x14ac:dyDescent="0.35">
      <c r="A195" s="9">
        <v>45897</v>
      </c>
      <c r="B195" s="3">
        <v>7.36</v>
      </c>
      <c r="C195" s="29">
        <f t="shared" si="13"/>
        <v>6.8166589790979405E-3</v>
      </c>
      <c r="D195" s="3">
        <v>10.69</v>
      </c>
      <c r="E195" s="48">
        <f t="shared" si="14"/>
        <v>3.7488328815196595E-3</v>
      </c>
      <c r="F195" s="3">
        <v>21.05</v>
      </c>
      <c r="G195" s="50">
        <f t="shared" si="15"/>
        <v>2.0154233045230022E-2</v>
      </c>
      <c r="H195" s="3">
        <v>33.958175093000001</v>
      </c>
      <c r="I195" s="52">
        <f t="shared" si="16"/>
        <v>1.8697680776046111E-2</v>
      </c>
      <c r="J195" s="3">
        <v>141049.20000000001</v>
      </c>
      <c r="K195" s="54">
        <f t="shared" si="17"/>
        <v>1.3155280149274575E-2</v>
      </c>
      <c r="L195" s="3">
        <v>14.9</v>
      </c>
      <c r="M195" s="55">
        <f t="shared" si="12"/>
        <v>5.513106415402369E-4</v>
      </c>
    </row>
    <row r="196" spans="1:13" x14ac:dyDescent="0.35">
      <c r="A196" s="9">
        <v>45898</v>
      </c>
      <c r="B196" s="3">
        <v>7.4</v>
      </c>
      <c r="C196" s="29">
        <f t="shared" si="13"/>
        <v>5.4200674693391133E-3</v>
      </c>
      <c r="D196" s="3">
        <v>10.86</v>
      </c>
      <c r="E196" s="48">
        <f t="shared" si="14"/>
        <v>1.5777589468835548E-2</v>
      </c>
      <c r="F196" s="3">
        <v>21.39</v>
      </c>
      <c r="G196" s="50">
        <f t="shared" si="15"/>
        <v>1.6022962965923933E-2</v>
      </c>
      <c r="H196" s="3">
        <v>34.357565567999998</v>
      </c>
      <c r="I196" s="52">
        <f t="shared" si="16"/>
        <v>1.1692620805304045E-2</v>
      </c>
      <c r="J196" s="3">
        <v>141422.26</v>
      </c>
      <c r="K196" s="54">
        <f t="shared" si="17"/>
        <v>2.6414011306010949E-3</v>
      </c>
      <c r="L196" s="3">
        <v>14.9</v>
      </c>
      <c r="M196" s="55">
        <f t="shared" ref="M196:M252" si="18">(1+L196/100)^(1/252) -1</f>
        <v>5.513106415402369E-4</v>
      </c>
    </row>
    <row r="197" spans="1:13" x14ac:dyDescent="0.35">
      <c r="A197" s="9">
        <v>45901</v>
      </c>
      <c r="B197" s="3">
        <v>7.42</v>
      </c>
      <c r="C197" s="29">
        <f t="shared" ref="C197:C252" si="19">LN(B197/B196)</f>
        <v>2.6990569691649835E-3</v>
      </c>
      <c r="D197" s="3">
        <v>10.53</v>
      </c>
      <c r="E197" s="48">
        <f t="shared" ref="E197:E252" si="20">LN(D197/D196)</f>
        <v>-3.0857988359905223E-2</v>
      </c>
      <c r="F197" s="3">
        <v>21.09</v>
      </c>
      <c r="G197" s="50">
        <f t="shared" ref="G197:G252" si="21">LN(F197/F196)</f>
        <v>-1.4124528603631089E-2</v>
      </c>
      <c r="H197" s="3">
        <v>34.555015664999999</v>
      </c>
      <c r="I197" s="52">
        <f t="shared" ref="I197:I252" si="22">LN(H197/H196)</f>
        <v>5.7304670291901307E-3</v>
      </c>
      <c r="J197" s="3">
        <v>141283.01</v>
      </c>
      <c r="K197" s="54">
        <f t="shared" ref="K197:K252" si="23">LN(J197/J196)</f>
        <v>-9.8512497670462666E-4</v>
      </c>
      <c r="L197" s="3">
        <v>14.9</v>
      </c>
      <c r="M197" s="55">
        <f t="shared" si="18"/>
        <v>5.513106415402369E-4</v>
      </c>
    </row>
    <row r="198" spans="1:13" x14ac:dyDescent="0.35">
      <c r="A198" s="9">
        <v>45902</v>
      </c>
      <c r="B198" s="3">
        <v>7.43</v>
      </c>
      <c r="C198" s="29">
        <f t="shared" si="19"/>
        <v>1.3468015503787952E-3</v>
      </c>
      <c r="D198" s="3">
        <v>10.119999999999999</v>
      </c>
      <c r="E198" s="48">
        <f t="shared" si="20"/>
        <v>-3.9714662286564631E-2</v>
      </c>
      <c r="F198" s="3">
        <v>20.420000000000002</v>
      </c>
      <c r="G198" s="50">
        <f t="shared" si="21"/>
        <v>-3.2284181754163616E-2</v>
      </c>
      <c r="H198" s="3">
        <v>34.055521364999997</v>
      </c>
      <c r="I198" s="52">
        <f t="shared" si="22"/>
        <v>-1.4560536803085779E-2</v>
      </c>
      <c r="J198" s="3">
        <v>140335.16</v>
      </c>
      <c r="K198" s="54">
        <f t="shared" si="23"/>
        <v>-6.7314802815755942E-3</v>
      </c>
      <c r="L198" s="3">
        <v>14.9</v>
      </c>
      <c r="M198" s="55">
        <f t="shared" si="18"/>
        <v>5.513106415402369E-4</v>
      </c>
    </row>
    <row r="199" spans="1:13" x14ac:dyDescent="0.35">
      <c r="A199" s="9">
        <v>45903</v>
      </c>
      <c r="B199" s="3">
        <v>7.47</v>
      </c>
      <c r="C199" s="29">
        <f t="shared" si="19"/>
        <v>5.3691404150582314E-3</v>
      </c>
      <c r="D199" s="3">
        <v>10.119999999999999</v>
      </c>
      <c r="E199" s="48">
        <f t="shared" si="20"/>
        <v>0</v>
      </c>
      <c r="F199" s="3">
        <v>20.28</v>
      </c>
      <c r="G199" s="50">
        <f t="shared" si="21"/>
        <v>-6.8796340135371583E-3</v>
      </c>
      <c r="H199" s="3">
        <v>33.685895582999997</v>
      </c>
      <c r="I199" s="52">
        <f t="shared" si="22"/>
        <v>-1.0912953019056797E-2</v>
      </c>
      <c r="J199" s="3">
        <v>139863.63</v>
      </c>
      <c r="K199" s="54">
        <f t="shared" si="23"/>
        <v>-3.3656850917721812E-3</v>
      </c>
      <c r="L199" s="3">
        <v>14.9</v>
      </c>
      <c r="M199" s="55">
        <f t="shared" si="18"/>
        <v>5.513106415402369E-4</v>
      </c>
    </row>
    <row r="200" spans="1:13" x14ac:dyDescent="0.35">
      <c r="A200" s="9">
        <v>45904</v>
      </c>
      <c r="B200" s="3">
        <v>7.4</v>
      </c>
      <c r="C200" s="29">
        <f t="shared" si="19"/>
        <v>-9.4149989346017614E-3</v>
      </c>
      <c r="D200" s="3">
        <v>10.42</v>
      </c>
      <c r="E200" s="48">
        <f t="shared" si="20"/>
        <v>2.9213372465901423E-2</v>
      </c>
      <c r="F200" s="3">
        <v>20.420000000000002</v>
      </c>
      <c r="G200" s="50">
        <f t="shared" si="21"/>
        <v>6.8796340135370074E-3</v>
      </c>
      <c r="H200" s="3">
        <v>33.965612391000001</v>
      </c>
      <c r="I200" s="52">
        <f t="shared" si="22"/>
        <v>8.2693914847069439E-3</v>
      </c>
      <c r="J200" s="3">
        <v>140993.25</v>
      </c>
      <c r="K200" s="54">
        <f t="shared" si="23"/>
        <v>8.0441404269633483E-3</v>
      </c>
      <c r="L200" s="3">
        <v>14.9</v>
      </c>
      <c r="M200" s="55">
        <f t="shared" si="18"/>
        <v>5.513106415402369E-4</v>
      </c>
    </row>
    <row r="201" spans="1:13" x14ac:dyDescent="0.35">
      <c r="A201" s="9">
        <v>45905</v>
      </c>
      <c r="B201" s="3">
        <v>7.53</v>
      </c>
      <c r="C201" s="29">
        <f t="shared" si="19"/>
        <v>1.7415041601678071E-2</v>
      </c>
      <c r="D201" s="3">
        <v>10.78</v>
      </c>
      <c r="E201" s="48">
        <f t="shared" si="20"/>
        <v>3.3965529155630093E-2</v>
      </c>
      <c r="F201" s="3">
        <v>21.15</v>
      </c>
      <c r="G201" s="50">
        <f t="shared" si="21"/>
        <v>3.512509275576732E-2</v>
      </c>
      <c r="H201" s="3">
        <v>34.415157260999997</v>
      </c>
      <c r="I201" s="52">
        <f t="shared" si="22"/>
        <v>1.3148472846967303E-2</v>
      </c>
      <c r="J201" s="3">
        <v>142640.14000000001</v>
      </c>
      <c r="K201" s="54">
        <f t="shared" si="23"/>
        <v>1.1612938154445411E-2</v>
      </c>
      <c r="L201" s="3">
        <v>14.9</v>
      </c>
      <c r="M201" s="55">
        <f t="shared" si="18"/>
        <v>5.513106415402369E-4</v>
      </c>
    </row>
    <row r="202" spans="1:13" x14ac:dyDescent="0.35">
      <c r="A202" s="9">
        <v>45908</v>
      </c>
      <c r="B202" s="3">
        <v>7.5</v>
      </c>
      <c r="C202" s="29">
        <f t="shared" si="19"/>
        <v>-3.9920212695374498E-3</v>
      </c>
      <c r="D202" s="3">
        <v>10.8</v>
      </c>
      <c r="E202" s="48">
        <f t="shared" si="20"/>
        <v>1.8535686493230564E-3</v>
      </c>
      <c r="F202" s="3">
        <v>20.95</v>
      </c>
      <c r="G202" s="50">
        <f t="shared" si="21"/>
        <v>-9.5012591241402516E-3</v>
      </c>
      <c r="H202" s="3">
        <v>34.165410111</v>
      </c>
      <c r="I202" s="52">
        <f t="shared" si="22"/>
        <v>-7.2833533930196231E-3</v>
      </c>
      <c r="J202" s="3">
        <v>141791.57999999999</v>
      </c>
      <c r="K202" s="54">
        <f t="shared" si="23"/>
        <v>-5.9667221188872211E-3</v>
      </c>
      <c r="L202" s="3">
        <v>14.9</v>
      </c>
      <c r="M202" s="55">
        <f t="shared" si="18"/>
        <v>5.513106415402369E-4</v>
      </c>
    </row>
    <row r="203" spans="1:13" x14ac:dyDescent="0.35">
      <c r="A203" s="9">
        <v>45909</v>
      </c>
      <c r="B203" s="3">
        <v>7.62</v>
      </c>
      <c r="C203" s="29">
        <f t="shared" si="19"/>
        <v>1.5873349156290163E-2</v>
      </c>
      <c r="D203" s="3">
        <v>10.65</v>
      </c>
      <c r="E203" s="48">
        <f t="shared" si="20"/>
        <v>-1.3986241974739952E-2</v>
      </c>
      <c r="F203" s="3">
        <v>21.4</v>
      </c>
      <c r="G203" s="50">
        <f t="shared" si="21"/>
        <v>2.1252275659658953E-2</v>
      </c>
      <c r="H203" s="3">
        <v>33.785794443</v>
      </c>
      <c r="I203" s="52">
        <f t="shared" si="22"/>
        <v>-1.1173300601085068E-2</v>
      </c>
      <c r="J203" s="3">
        <v>141618.29</v>
      </c>
      <c r="K203" s="54">
        <f t="shared" si="23"/>
        <v>-1.2228933423934149E-3</v>
      </c>
      <c r="L203" s="3">
        <v>14.9</v>
      </c>
      <c r="M203" s="55">
        <f t="shared" si="18"/>
        <v>5.513106415402369E-4</v>
      </c>
    </row>
    <row r="204" spans="1:13" x14ac:dyDescent="0.35">
      <c r="A204" s="9">
        <v>45910</v>
      </c>
      <c r="B204" s="3">
        <v>7.71</v>
      </c>
      <c r="C204" s="29">
        <f t="shared" si="19"/>
        <v>1.1741817876683195E-2</v>
      </c>
      <c r="D204" s="3">
        <v>10.52</v>
      </c>
      <c r="E204" s="48">
        <f t="shared" si="20"/>
        <v>-1.2281684845870338E-2</v>
      </c>
      <c r="F204" s="3">
        <v>22.05</v>
      </c>
      <c r="G204" s="50">
        <f t="shared" si="21"/>
        <v>2.992167986504923E-2</v>
      </c>
      <c r="H204" s="3">
        <v>33.775804557000001</v>
      </c>
      <c r="I204" s="52">
        <f t="shared" si="22"/>
        <v>-2.9572675071840677E-4</v>
      </c>
      <c r="J204" s="3">
        <v>142348.70000000001</v>
      </c>
      <c r="K204" s="54">
        <f t="shared" si="23"/>
        <v>5.1443416772640176E-3</v>
      </c>
      <c r="L204" s="3">
        <v>14.9</v>
      </c>
      <c r="M204" s="55">
        <f t="shared" si="18"/>
        <v>5.513106415402369E-4</v>
      </c>
    </row>
    <row r="205" spans="1:13" x14ac:dyDescent="0.35">
      <c r="A205" s="9">
        <v>45911</v>
      </c>
      <c r="B205" s="3">
        <v>7.8</v>
      </c>
      <c r="C205" s="29">
        <f t="shared" si="19"/>
        <v>1.160554612030789E-2</v>
      </c>
      <c r="D205" s="3">
        <v>10.65</v>
      </c>
      <c r="E205" s="48">
        <f t="shared" si="20"/>
        <v>1.2281684845870449E-2</v>
      </c>
      <c r="F205" s="3">
        <v>22.22</v>
      </c>
      <c r="G205" s="50">
        <f t="shared" si="21"/>
        <v>7.6801823186287838E-3</v>
      </c>
      <c r="H205" s="3">
        <v>33.815764100999999</v>
      </c>
      <c r="I205" s="52">
        <f t="shared" si="22"/>
        <v>1.1823826388042979E-3</v>
      </c>
      <c r="J205" s="3">
        <v>143150.84</v>
      </c>
      <c r="K205" s="54">
        <f t="shared" si="23"/>
        <v>5.6192182353132893E-3</v>
      </c>
      <c r="L205" s="3">
        <v>14.9</v>
      </c>
      <c r="M205" s="55">
        <f t="shared" si="18"/>
        <v>5.513106415402369E-4</v>
      </c>
    </row>
    <row r="206" spans="1:13" x14ac:dyDescent="0.35">
      <c r="A206" s="9">
        <v>45912</v>
      </c>
      <c r="B206" s="3">
        <v>7.91</v>
      </c>
      <c r="C206" s="29">
        <f t="shared" si="19"/>
        <v>1.4004048084016403E-2</v>
      </c>
      <c r="D206" s="3">
        <v>10.71</v>
      </c>
      <c r="E206" s="48">
        <f t="shared" si="20"/>
        <v>5.6179923042232738E-3</v>
      </c>
      <c r="F206" s="3">
        <v>22.31</v>
      </c>
      <c r="G206" s="50">
        <f t="shared" si="21"/>
        <v>4.0422242329572929E-3</v>
      </c>
      <c r="H206" s="3">
        <v>33.526057407000003</v>
      </c>
      <c r="I206" s="52">
        <f t="shared" si="22"/>
        <v>-8.6041177615782949E-3</v>
      </c>
      <c r="J206" s="3">
        <v>142271.57999999999</v>
      </c>
      <c r="K206" s="54">
        <f t="shared" si="23"/>
        <v>-6.1611332519617111E-3</v>
      </c>
      <c r="L206" s="3">
        <v>14.9</v>
      </c>
      <c r="M206" s="55">
        <f t="shared" si="18"/>
        <v>5.513106415402369E-4</v>
      </c>
    </row>
    <row r="207" spans="1:13" x14ac:dyDescent="0.35">
      <c r="A207" s="9">
        <v>45915</v>
      </c>
      <c r="B207" s="3">
        <v>8.01</v>
      </c>
      <c r="C207" s="29">
        <f t="shared" si="19"/>
        <v>1.2562979300705398E-2</v>
      </c>
      <c r="D207" s="3">
        <v>11.01</v>
      </c>
      <c r="E207" s="48">
        <f t="shared" si="20"/>
        <v>2.7626066274931096E-2</v>
      </c>
      <c r="F207" s="3">
        <v>21.82</v>
      </c>
      <c r="G207" s="50">
        <f t="shared" si="21"/>
        <v>-2.220802803951636E-2</v>
      </c>
      <c r="H207" s="3">
        <v>33.745834899000002</v>
      </c>
      <c r="I207" s="52">
        <f t="shared" si="22"/>
        <v>6.53402978239677E-3</v>
      </c>
      <c r="J207" s="3">
        <v>143546.57999999999</v>
      </c>
      <c r="K207" s="54">
        <f t="shared" si="23"/>
        <v>8.9218155862495693E-3</v>
      </c>
      <c r="L207" s="3">
        <v>14.9</v>
      </c>
      <c r="M207" s="55">
        <f t="shared" si="18"/>
        <v>5.513106415402369E-4</v>
      </c>
    </row>
    <row r="208" spans="1:13" x14ac:dyDescent="0.35">
      <c r="A208" s="9">
        <v>45916</v>
      </c>
      <c r="B208" s="3">
        <v>8.0500000000000007</v>
      </c>
      <c r="C208" s="29">
        <f t="shared" si="19"/>
        <v>4.9813303502041616E-3</v>
      </c>
      <c r="D208" s="3">
        <v>10.96</v>
      </c>
      <c r="E208" s="48">
        <f t="shared" si="20"/>
        <v>-4.5516692147190754E-3</v>
      </c>
      <c r="F208" s="3">
        <v>21.94</v>
      </c>
      <c r="G208" s="50">
        <f t="shared" si="21"/>
        <v>5.4844744421595005E-3</v>
      </c>
      <c r="H208" s="3">
        <v>33.585996723000001</v>
      </c>
      <c r="I208" s="52">
        <f t="shared" si="22"/>
        <v>-4.7477834004537424E-3</v>
      </c>
      <c r="J208" s="3">
        <v>144061.74</v>
      </c>
      <c r="K208" s="54">
        <f t="shared" si="23"/>
        <v>3.5823758571271827E-3</v>
      </c>
      <c r="L208" s="3">
        <v>14.9</v>
      </c>
      <c r="M208" s="55">
        <f t="shared" si="18"/>
        <v>5.513106415402369E-4</v>
      </c>
    </row>
    <row r="209" spans="1:13" x14ac:dyDescent="0.35">
      <c r="A209" s="9">
        <v>45917</v>
      </c>
      <c r="B209" s="3">
        <v>8.23</v>
      </c>
      <c r="C209" s="29">
        <f t="shared" si="19"/>
        <v>2.2113923258506439E-2</v>
      </c>
      <c r="D209" s="3">
        <v>11.06</v>
      </c>
      <c r="E209" s="48">
        <f t="shared" si="20"/>
        <v>9.0827145743192263E-3</v>
      </c>
      <c r="F209" s="3">
        <v>21.87</v>
      </c>
      <c r="G209" s="50">
        <f t="shared" si="21"/>
        <v>-3.195620158407758E-3</v>
      </c>
      <c r="H209" s="3">
        <v>34.315258401000001</v>
      </c>
      <c r="I209" s="52">
        <f t="shared" si="22"/>
        <v>2.1480890693583592E-2</v>
      </c>
      <c r="J209" s="3">
        <v>145593.63</v>
      </c>
      <c r="K209" s="54">
        <f t="shared" si="23"/>
        <v>1.0577427116543798E-2</v>
      </c>
      <c r="L209" s="3">
        <v>14.9</v>
      </c>
      <c r="M209" s="55">
        <f t="shared" si="18"/>
        <v>5.513106415402369E-4</v>
      </c>
    </row>
    <row r="210" spans="1:13" x14ac:dyDescent="0.35">
      <c r="A210" s="9">
        <v>45918</v>
      </c>
      <c r="B210" s="3">
        <v>8.41</v>
      </c>
      <c r="C210" s="29">
        <f t="shared" si="19"/>
        <v>2.1635459295878148E-2</v>
      </c>
      <c r="D210" s="3">
        <v>10.77</v>
      </c>
      <c r="E210" s="48">
        <f t="shared" si="20"/>
        <v>-2.6570504925891591E-2</v>
      </c>
      <c r="F210" s="3">
        <v>22.1</v>
      </c>
      <c r="G210" s="50">
        <f t="shared" si="21"/>
        <v>1.0461773835030625E-2</v>
      </c>
      <c r="H210" s="3">
        <v>34.155420225</v>
      </c>
      <c r="I210" s="52">
        <f t="shared" si="22"/>
        <v>-4.6688150183758301E-3</v>
      </c>
      <c r="J210" s="3">
        <v>145499.49</v>
      </c>
      <c r="K210" s="54">
        <f t="shared" si="23"/>
        <v>-6.4680335476160089E-4</v>
      </c>
      <c r="L210" s="3">
        <v>14.9</v>
      </c>
      <c r="M210" s="55">
        <f t="shared" si="18"/>
        <v>5.513106415402369E-4</v>
      </c>
    </row>
    <row r="211" spans="1:13" x14ac:dyDescent="0.35">
      <c r="A211" s="9">
        <v>45919</v>
      </c>
      <c r="B211" s="3">
        <v>8.11</v>
      </c>
      <c r="C211" s="29">
        <f t="shared" si="19"/>
        <v>-3.6323605857535246E-2</v>
      </c>
      <c r="D211" s="3">
        <v>10.7</v>
      </c>
      <c r="E211" s="48">
        <f t="shared" si="20"/>
        <v>-6.5207497004367574E-3</v>
      </c>
      <c r="F211" s="3">
        <v>21.62</v>
      </c>
      <c r="G211" s="50">
        <f t="shared" si="21"/>
        <v>-2.1958796312644947E-2</v>
      </c>
      <c r="H211" s="3">
        <v>34.515056121000001</v>
      </c>
      <c r="I211" s="52">
        <f t="shared" si="22"/>
        <v>1.0474346565214544E-2</v>
      </c>
      <c r="J211" s="3">
        <v>145865.10999999999</v>
      </c>
      <c r="K211" s="54">
        <f t="shared" si="23"/>
        <v>2.5097090855170146E-3</v>
      </c>
      <c r="L211" s="3">
        <v>14.9</v>
      </c>
      <c r="M211" s="55">
        <f t="shared" si="18"/>
        <v>5.513106415402369E-4</v>
      </c>
    </row>
    <row r="212" spans="1:13" x14ac:dyDescent="0.35">
      <c r="A212" s="9">
        <v>45922</v>
      </c>
      <c r="B212" s="3">
        <v>8</v>
      </c>
      <c r="C212" s="29">
        <f t="shared" si="19"/>
        <v>-1.3656326447485528E-2</v>
      </c>
      <c r="D212" s="3">
        <v>10.57</v>
      </c>
      <c r="E212" s="48">
        <f t="shared" si="20"/>
        <v>-1.2223941585714146E-2</v>
      </c>
      <c r="F212" s="3">
        <v>21.51</v>
      </c>
      <c r="G212" s="50">
        <f t="shared" si="21"/>
        <v>-5.1008689314234841E-3</v>
      </c>
      <c r="H212" s="3">
        <v>34.095480909000003</v>
      </c>
      <c r="I212" s="52">
        <f t="shared" si="22"/>
        <v>-1.2230787298272053E-2</v>
      </c>
      <c r="J212" s="3">
        <v>145109.25</v>
      </c>
      <c r="K212" s="54">
        <f t="shared" si="23"/>
        <v>-5.195383539504661E-3</v>
      </c>
      <c r="L212" s="3">
        <v>14.9</v>
      </c>
      <c r="M212" s="55">
        <f t="shared" si="18"/>
        <v>5.513106415402369E-4</v>
      </c>
    </row>
    <row r="213" spans="1:13" x14ac:dyDescent="0.35">
      <c r="A213" s="9">
        <v>45923</v>
      </c>
      <c r="B213" s="3">
        <v>8.08</v>
      </c>
      <c r="C213" s="29">
        <f t="shared" si="19"/>
        <v>9.950330853168092E-3</v>
      </c>
      <c r="D213" s="3">
        <v>10.64</v>
      </c>
      <c r="E213" s="48">
        <f t="shared" si="20"/>
        <v>6.6006840313520927E-3</v>
      </c>
      <c r="F213" s="3">
        <v>22.13</v>
      </c>
      <c r="G213" s="50">
        <f t="shared" si="21"/>
        <v>2.84162107833195E-2</v>
      </c>
      <c r="H213" s="3">
        <v>34.505066235000001</v>
      </c>
      <c r="I213" s="52">
        <f t="shared" si="22"/>
        <v>1.1941309803050235E-2</v>
      </c>
      <c r="J213" s="3">
        <v>146424.94</v>
      </c>
      <c r="K213" s="54">
        <f t="shared" si="23"/>
        <v>9.0260352128929289E-3</v>
      </c>
      <c r="L213" s="3">
        <v>14.9</v>
      </c>
      <c r="M213" s="55">
        <f t="shared" si="18"/>
        <v>5.513106415402369E-4</v>
      </c>
    </row>
    <row r="214" spans="1:13" x14ac:dyDescent="0.35">
      <c r="A214" s="9">
        <v>45924</v>
      </c>
      <c r="B214" s="3">
        <v>8.1199999999999992</v>
      </c>
      <c r="C214" s="29">
        <f t="shared" si="19"/>
        <v>4.9382816405825767E-3</v>
      </c>
      <c r="D214" s="3">
        <v>10.63</v>
      </c>
      <c r="E214" s="48">
        <f t="shared" si="20"/>
        <v>-9.4029155964174408E-4</v>
      </c>
      <c r="F214" s="3">
        <v>22.11</v>
      </c>
      <c r="G214" s="50">
        <f t="shared" si="21"/>
        <v>-9.0415919360330144E-4</v>
      </c>
      <c r="H214" s="3">
        <v>34.415157260999997</v>
      </c>
      <c r="I214" s="52">
        <f t="shared" si="22"/>
        <v>-2.6090752595464401E-3</v>
      </c>
      <c r="J214" s="3">
        <v>146491.75</v>
      </c>
      <c r="K214" s="54">
        <f t="shared" si="23"/>
        <v>4.561706685853224E-4</v>
      </c>
      <c r="L214" s="3">
        <v>14.9</v>
      </c>
      <c r="M214" s="55">
        <f t="shared" si="18"/>
        <v>5.513106415402369E-4</v>
      </c>
    </row>
    <row r="215" spans="1:13" x14ac:dyDescent="0.35">
      <c r="A215" s="9">
        <v>45925</v>
      </c>
      <c r="B215" s="3">
        <v>7.78</v>
      </c>
      <c r="C215" s="29">
        <f t="shared" si="19"/>
        <v>-4.2773815983286237E-2</v>
      </c>
      <c r="D215" s="3">
        <v>10.4</v>
      </c>
      <c r="E215" s="48">
        <f t="shared" si="20"/>
        <v>-2.1874386206529581E-2</v>
      </c>
      <c r="F215" s="3">
        <v>21.79</v>
      </c>
      <c r="G215" s="50">
        <f t="shared" si="21"/>
        <v>-1.4578845912826465E-2</v>
      </c>
      <c r="H215" s="3">
        <v>34.105470795000002</v>
      </c>
      <c r="I215" s="52">
        <f t="shared" si="22"/>
        <v>-9.0392800957474709E-3</v>
      </c>
      <c r="J215" s="3">
        <v>145306.23000000001</v>
      </c>
      <c r="K215" s="54">
        <f t="shared" si="23"/>
        <v>-8.1256664145951518E-3</v>
      </c>
      <c r="L215" s="3">
        <v>14.9</v>
      </c>
      <c r="M215" s="55">
        <f t="shared" si="18"/>
        <v>5.513106415402369E-4</v>
      </c>
    </row>
    <row r="216" spans="1:13" x14ac:dyDescent="0.35">
      <c r="A216" s="9">
        <v>45926</v>
      </c>
      <c r="B216" s="3">
        <v>7.69</v>
      </c>
      <c r="C216" s="29">
        <f t="shared" si="19"/>
        <v>-1.1635554672747576E-2</v>
      </c>
      <c r="D216" s="3">
        <v>10.37</v>
      </c>
      <c r="E216" s="48">
        <f t="shared" si="20"/>
        <v>-2.8887839058911206E-3</v>
      </c>
      <c r="F216" s="3">
        <v>22.11</v>
      </c>
      <c r="G216" s="50">
        <f t="shared" si="21"/>
        <v>1.4578845912826396E-2</v>
      </c>
      <c r="H216" s="3">
        <v>34.235339312999997</v>
      </c>
      <c r="I216" s="52">
        <f t="shared" si="22"/>
        <v>3.8006185212237677E-3</v>
      </c>
      <c r="J216" s="3">
        <v>145446.66</v>
      </c>
      <c r="K216" s="54">
        <f t="shared" si="23"/>
        <v>9.6597499629103435E-4</v>
      </c>
      <c r="L216" s="3">
        <v>14.9</v>
      </c>
      <c r="M216" s="55">
        <f t="shared" si="18"/>
        <v>5.513106415402369E-4</v>
      </c>
    </row>
    <row r="217" spans="1:13" x14ac:dyDescent="0.35">
      <c r="A217" s="9">
        <v>45929</v>
      </c>
      <c r="B217" s="3">
        <v>7.59</v>
      </c>
      <c r="C217" s="29">
        <f t="shared" si="19"/>
        <v>-1.3089192110014162E-2</v>
      </c>
      <c r="D217" s="3">
        <v>10.32</v>
      </c>
      <c r="E217" s="48">
        <f t="shared" si="20"/>
        <v>-4.8332621880191537E-3</v>
      </c>
      <c r="F217" s="3">
        <v>22.12</v>
      </c>
      <c r="G217" s="50">
        <f t="shared" si="21"/>
        <v>4.521817847792319E-4</v>
      </c>
      <c r="H217" s="3">
        <v>34.425147146999997</v>
      </c>
      <c r="I217" s="52">
        <f t="shared" si="22"/>
        <v>5.5288952147154935E-3</v>
      </c>
      <c r="J217" s="3">
        <v>146336.79999999999</v>
      </c>
      <c r="K217" s="54">
        <f t="shared" si="23"/>
        <v>6.1013928715130984E-3</v>
      </c>
      <c r="L217" s="3">
        <v>14.9</v>
      </c>
      <c r="M217" s="55">
        <f t="shared" si="18"/>
        <v>5.513106415402369E-4</v>
      </c>
    </row>
    <row r="218" spans="1:13" x14ac:dyDescent="0.35">
      <c r="A218" s="9">
        <v>45930</v>
      </c>
      <c r="B218" s="3">
        <v>7.51</v>
      </c>
      <c r="C218" s="29">
        <f t="shared" si="19"/>
        <v>-1.0596125631495158E-2</v>
      </c>
      <c r="D218" s="3">
        <v>10.27</v>
      </c>
      <c r="E218" s="48">
        <f t="shared" si="20"/>
        <v>-4.8567361129499328E-3</v>
      </c>
      <c r="F218" s="3">
        <v>22.09</v>
      </c>
      <c r="G218" s="50">
        <f t="shared" si="21"/>
        <v>-1.3571592221083312E-3</v>
      </c>
      <c r="H218" s="3">
        <v>34.614954980999997</v>
      </c>
      <c r="I218" s="52">
        <f t="shared" si="22"/>
        <v>5.4984945375623128E-3</v>
      </c>
      <c r="J218" s="3">
        <v>146237.01999999999</v>
      </c>
      <c r="K218" s="54">
        <f t="shared" si="23"/>
        <v>-6.8208429495481536E-4</v>
      </c>
      <c r="L218" s="3">
        <v>14.9</v>
      </c>
      <c r="M218" s="55">
        <f t="shared" si="18"/>
        <v>5.513106415402369E-4</v>
      </c>
    </row>
    <row r="219" spans="1:13" x14ac:dyDescent="0.35">
      <c r="A219" s="9">
        <v>45931</v>
      </c>
      <c r="B219" s="3">
        <v>7.26</v>
      </c>
      <c r="C219" s="29">
        <f t="shared" si="19"/>
        <v>-3.3855636939338629E-2</v>
      </c>
      <c r="D219" s="3">
        <v>10.08</v>
      </c>
      <c r="E219" s="48">
        <f t="shared" si="20"/>
        <v>-1.8673761297244299E-2</v>
      </c>
      <c r="F219" s="3">
        <v>21.93</v>
      </c>
      <c r="G219" s="50">
        <f t="shared" si="21"/>
        <v>-7.2694550022289559E-3</v>
      </c>
      <c r="H219" s="3">
        <v>33.952937663999997</v>
      </c>
      <c r="I219" s="52">
        <f t="shared" si="22"/>
        <v>-1.9310434173452455E-2</v>
      </c>
      <c r="J219" s="3">
        <v>145517.35</v>
      </c>
      <c r="K219" s="54">
        <f t="shared" si="23"/>
        <v>-4.9334065477072316E-3</v>
      </c>
      <c r="L219" s="3">
        <v>14.9</v>
      </c>
      <c r="M219" s="55">
        <f t="shared" si="18"/>
        <v>5.513106415402369E-4</v>
      </c>
    </row>
    <row r="220" spans="1:13" x14ac:dyDescent="0.35">
      <c r="A220" s="9">
        <v>45932</v>
      </c>
      <c r="B220" s="3">
        <v>7.38</v>
      </c>
      <c r="C220" s="29">
        <f t="shared" si="19"/>
        <v>1.6393809775676352E-2</v>
      </c>
      <c r="D220" s="3">
        <v>10.09</v>
      </c>
      <c r="E220" s="48">
        <f t="shared" si="20"/>
        <v>9.9157172229502751E-4</v>
      </c>
      <c r="F220" s="3">
        <v>21.76</v>
      </c>
      <c r="G220" s="50">
        <f t="shared" si="21"/>
        <v>-7.7821404420548509E-3</v>
      </c>
      <c r="H220" s="3">
        <v>33.623103415000003</v>
      </c>
      <c r="I220" s="52">
        <f t="shared" si="22"/>
        <v>-9.7619470759837644E-3</v>
      </c>
      <c r="J220" s="3">
        <v>143949.64000000001</v>
      </c>
      <c r="K220" s="54">
        <f t="shared" si="23"/>
        <v>-1.0831807302101842E-2</v>
      </c>
      <c r="L220" s="3">
        <v>14.9</v>
      </c>
      <c r="M220" s="55">
        <f t="shared" si="18"/>
        <v>5.513106415402369E-4</v>
      </c>
    </row>
    <row r="221" spans="1:13" x14ac:dyDescent="0.35">
      <c r="A221" s="9">
        <v>45933</v>
      </c>
      <c r="B221" s="3">
        <v>7.59</v>
      </c>
      <c r="C221" s="29">
        <f t="shared" si="19"/>
        <v>2.8057952795157527E-2</v>
      </c>
      <c r="D221" s="3">
        <v>10.37</v>
      </c>
      <c r="E221" s="48">
        <f t="shared" si="20"/>
        <v>2.7372187875918292E-2</v>
      </c>
      <c r="F221" s="3">
        <v>21.58</v>
      </c>
      <c r="G221" s="50">
        <f t="shared" si="21"/>
        <v>-8.3064621577534151E-3</v>
      </c>
      <c r="H221" s="3">
        <v>33.862982869</v>
      </c>
      <c r="I221" s="52">
        <f t="shared" si="22"/>
        <v>7.1090346904831405E-3</v>
      </c>
      <c r="J221" s="3">
        <v>144200.65</v>
      </c>
      <c r="K221" s="54">
        <f t="shared" si="23"/>
        <v>1.7422162822826651E-3</v>
      </c>
      <c r="L221" s="3">
        <v>14.9</v>
      </c>
      <c r="M221" s="55">
        <f t="shared" si="18"/>
        <v>5.513106415402369E-4</v>
      </c>
    </row>
    <row r="222" spans="1:13" x14ac:dyDescent="0.35">
      <c r="A222" s="9">
        <v>45936</v>
      </c>
      <c r="B222" s="3">
        <v>7.54</v>
      </c>
      <c r="C222" s="29">
        <f t="shared" si="19"/>
        <v>-6.6094093876738523E-3</v>
      </c>
      <c r="D222" s="3">
        <v>10.42</v>
      </c>
      <c r="E222" s="48">
        <f t="shared" si="20"/>
        <v>4.810014083784878E-3</v>
      </c>
      <c r="F222" s="3">
        <v>21.41</v>
      </c>
      <c r="G222" s="50">
        <f t="shared" si="21"/>
        <v>-7.9088572283971328E-3</v>
      </c>
      <c r="H222" s="3">
        <v>33.483173733999998</v>
      </c>
      <c r="I222" s="52">
        <f t="shared" si="22"/>
        <v>-1.1279430955988773E-2</v>
      </c>
      <c r="J222" s="3">
        <v>143608.07999999999</v>
      </c>
      <c r="K222" s="54">
        <f t="shared" si="23"/>
        <v>-4.117810028340177E-3</v>
      </c>
      <c r="L222" s="3">
        <v>14.9</v>
      </c>
      <c r="M222" s="55">
        <f t="shared" si="18"/>
        <v>5.513106415402369E-4</v>
      </c>
    </row>
    <row r="223" spans="1:13" x14ac:dyDescent="0.35">
      <c r="A223" s="9">
        <v>45937</v>
      </c>
      <c r="B223" s="3">
        <v>7.38</v>
      </c>
      <c r="C223" s="29">
        <f t="shared" si="19"/>
        <v>-2.1448543407483627E-2</v>
      </c>
      <c r="D223" s="3">
        <v>10.14</v>
      </c>
      <c r="E223" s="48">
        <f t="shared" si="20"/>
        <v>-2.7239038162183721E-2</v>
      </c>
      <c r="F223" s="3">
        <v>21.21</v>
      </c>
      <c r="G223" s="50">
        <f t="shared" si="21"/>
        <v>-9.3853340250003702E-3</v>
      </c>
      <c r="H223" s="3">
        <v>32.853490168</v>
      </c>
      <c r="I223" s="52">
        <f t="shared" si="22"/>
        <v>-1.8985051162688473E-2</v>
      </c>
      <c r="J223" s="3">
        <v>141356.43</v>
      </c>
      <c r="K223" s="54">
        <f t="shared" si="23"/>
        <v>-1.5803349417037118E-2</v>
      </c>
      <c r="L223" s="3">
        <v>14.9</v>
      </c>
      <c r="M223" s="55">
        <f t="shared" si="18"/>
        <v>5.513106415402369E-4</v>
      </c>
    </row>
    <row r="224" spans="1:13" x14ac:dyDescent="0.35">
      <c r="A224" s="9">
        <v>45938</v>
      </c>
      <c r="B224" s="3">
        <v>7.3</v>
      </c>
      <c r="C224" s="29">
        <f t="shared" si="19"/>
        <v>-1.0899290458035742E-2</v>
      </c>
      <c r="D224" s="3">
        <v>10.37</v>
      </c>
      <c r="E224" s="48">
        <f t="shared" si="20"/>
        <v>2.2429024078398644E-2</v>
      </c>
      <c r="F224" s="3">
        <v>21.12</v>
      </c>
      <c r="G224" s="50">
        <f t="shared" si="21"/>
        <v>-4.2523097385303915E-3</v>
      </c>
      <c r="H224" s="3">
        <v>33.023404781000004</v>
      </c>
      <c r="I224" s="52">
        <f t="shared" si="22"/>
        <v>5.1585609773403991E-3</v>
      </c>
      <c r="J224" s="3">
        <v>142145.38</v>
      </c>
      <c r="K224" s="54">
        <f t="shared" si="23"/>
        <v>5.5657636658849926E-3</v>
      </c>
      <c r="L224" s="3">
        <v>14.9</v>
      </c>
      <c r="M224" s="55">
        <f t="shared" si="18"/>
        <v>5.513106415402369E-4</v>
      </c>
    </row>
    <row r="225" spans="1:13" x14ac:dyDescent="0.35">
      <c r="A225" s="9">
        <v>45939</v>
      </c>
      <c r="B225" s="3">
        <v>7.22</v>
      </c>
      <c r="C225" s="29">
        <f t="shared" si="19"/>
        <v>-1.1019395249610538E-2</v>
      </c>
      <c r="D225" s="3">
        <v>10.73</v>
      </c>
      <c r="E225" s="48">
        <f t="shared" si="20"/>
        <v>3.4126534401171256E-2</v>
      </c>
      <c r="F225" s="3">
        <v>21.19</v>
      </c>
      <c r="G225" s="50">
        <f t="shared" si="21"/>
        <v>3.3089134421470721E-3</v>
      </c>
      <c r="H225" s="3">
        <v>33.073379666999998</v>
      </c>
      <c r="I225" s="52">
        <f t="shared" si="22"/>
        <v>1.5121732756094041E-3</v>
      </c>
      <c r="J225" s="3">
        <v>141708.19</v>
      </c>
      <c r="K225" s="54">
        <f t="shared" si="23"/>
        <v>-3.0803934979681965E-3</v>
      </c>
      <c r="L225" s="3">
        <v>14.9</v>
      </c>
      <c r="M225" s="55">
        <f t="shared" si="18"/>
        <v>5.513106415402369E-4</v>
      </c>
    </row>
    <row r="226" spans="1:13" x14ac:dyDescent="0.35">
      <c r="A226" s="9">
        <v>45940</v>
      </c>
      <c r="B226" s="3">
        <v>7.21</v>
      </c>
      <c r="C226" s="29">
        <f t="shared" si="19"/>
        <v>-1.3860016078771403E-3</v>
      </c>
      <c r="D226" s="3">
        <v>10.65</v>
      </c>
      <c r="E226" s="48">
        <f t="shared" si="20"/>
        <v>-7.4836644871729965E-3</v>
      </c>
      <c r="F226" s="3">
        <v>20.61</v>
      </c>
      <c r="G226" s="50">
        <f t="shared" si="21"/>
        <v>-2.7752977377840157E-2</v>
      </c>
      <c r="H226" s="3">
        <v>33.053389713000001</v>
      </c>
      <c r="I226" s="52">
        <f t="shared" si="22"/>
        <v>-6.0459492566595195E-4</v>
      </c>
      <c r="J226" s="3">
        <v>140680.34</v>
      </c>
      <c r="K226" s="54">
        <f t="shared" si="23"/>
        <v>-7.2797187561338883E-3</v>
      </c>
      <c r="L226" s="3">
        <v>14.9</v>
      </c>
      <c r="M226" s="55">
        <f t="shared" si="18"/>
        <v>5.513106415402369E-4</v>
      </c>
    </row>
    <row r="227" spans="1:13" x14ac:dyDescent="0.35">
      <c r="A227" s="9">
        <v>45943</v>
      </c>
      <c r="B227" s="3">
        <v>7.31</v>
      </c>
      <c r="C227" s="29">
        <f t="shared" si="19"/>
        <v>1.3774322464829422E-2</v>
      </c>
      <c r="D227" s="3">
        <v>10.74</v>
      </c>
      <c r="E227" s="48">
        <f t="shared" si="20"/>
        <v>8.4151969252844981E-3</v>
      </c>
      <c r="F227" s="3">
        <v>20.88</v>
      </c>
      <c r="G227" s="50">
        <f t="shared" si="21"/>
        <v>1.3015368112070227E-2</v>
      </c>
      <c r="H227" s="3">
        <v>33.293269166000002</v>
      </c>
      <c r="I227" s="52">
        <f t="shared" si="22"/>
        <v>7.2311251933492443E-3</v>
      </c>
      <c r="J227" s="3">
        <v>141783.35999999999</v>
      </c>
      <c r="K227" s="54">
        <f t="shared" si="23"/>
        <v>7.8100343987813382E-3</v>
      </c>
      <c r="L227" s="3">
        <v>14.9</v>
      </c>
      <c r="M227" s="55">
        <f t="shared" si="18"/>
        <v>5.513106415402369E-4</v>
      </c>
    </row>
    <row r="228" spans="1:13" x14ac:dyDescent="0.35">
      <c r="A228" s="9">
        <v>45944</v>
      </c>
      <c r="B228" s="3">
        <v>7.19</v>
      </c>
      <c r="C228" s="29">
        <f t="shared" si="19"/>
        <v>-1.6552102028731759E-2</v>
      </c>
      <c r="D228" s="3">
        <v>10.46</v>
      </c>
      <c r="E228" s="48">
        <f t="shared" si="20"/>
        <v>-2.6416630443941758E-2</v>
      </c>
      <c r="F228" s="3">
        <v>20.7</v>
      </c>
      <c r="G228" s="50">
        <f t="shared" si="21"/>
        <v>-8.6580627431145415E-3</v>
      </c>
      <c r="H228" s="3">
        <v>33.233299303000003</v>
      </c>
      <c r="I228" s="52">
        <f t="shared" si="22"/>
        <v>-1.802885091593257E-3</v>
      </c>
      <c r="J228" s="3">
        <v>141682.99</v>
      </c>
      <c r="K228" s="54">
        <f t="shared" si="23"/>
        <v>-7.0816168617236514E-4</v>
      </c>
      <c r="L228" s="3">
        <v>14.9</v>
      </c>
      <c r="M228" s="55">
        <f t="shared" si="18"/>
        <v>5.513106415402369E-4</v>
      </c>
    </row>
    <row r="229" spans="1:13" x14ac:dyDescent="0.35">
      <c r="A229" s="9">
        <v>45945</v>
      </c>
      <c r="B229" s="3">
        <v>7.21</v>
      </c>
      <c r="C229" s="29">
        <f t="shared" si="19"/>
        <v>2.7777795639023694E-3</v>
      </c>
      <c r="D229" s="3">
        <v>10.55</v>
      </c>
      <c r="E229" s="48">
        <f t="shared" si="20"/>
        <v>8.5674012852985839E-3</v>
      </c>
      <c r="F229" s="3">
        <v>20.32</v>
      </c>
      <c r="G229" s="50">
        <f t="shared" si="21"/>
        <v>-1.8528077561042241E-2</v>
      </c>
      <c r="H229" s="3">
        <v>33.133349529999997</v>
      </c>
      <c r="I229" s="52">
        <f t="shared" si="22"/>
        <v>-3.0120504899158644E-3</v>
      </c>
      <c r="J229" s="3">
        <v>142603.66</v>
      </c>
      <c r="K229" s="54">
        <f t="shared" si="23"/>
        <v>6.4770767019850769E-3</v>
      </c>
      <c r="L229" s="3">
        <v>14.9</v>
      </c>
      <c r="M229" s="55">
        <f t="shared" si="18"/>
        <v>5.513106415402369E-4</v>
      </c>
    </row>
    <row r="230" spans="1:13" x14ac:dyDescent="0.35">
      <c r="A230" s="9">
        <v>45946</v>
      </c>
      <c r="B230" s="3">
        <v>7.3</v>
      </c>
      <c r="C230" s="29">
        <f t="shared" si="19"/>
        <v>1.2405396857487731E-2</v>
      </c>
      <c r="D230" s="3">
        <v>10.76</v>
      </c>
      <c r="E230" s="48">
        <f t="shared" si="20"/>
        <v>1.970969481156273E-2</v>
      </c>
      <c r="F230" s="3">
        <v>20.37</v>
      </c>
      <c r="G230" s="50">
        <f t="shared" si="21"/>
        <v>2.4576075284334143E-3</v>
      </c>
      <c r="H230" s="3">
        <v>33.173329439</v>
      </c>
      <c r="I230" s="52">
        <f t="shared" si="22"/>
        <v>1.2059091019669115E-3</v>
      </c>
      <c r="J230" s="3">
        <v>142200.01999999999</v>
      </c>
      <c r="K230" s="54">
        <f t="shared" si="23"/>
        <v>-2.8345158338762087E-3</v>
      </c>
      <c r="L230" s="3">
        <v>14.9</v>
      </c>
      <c r="M230" s="55">
        <f t="shared" si="18"/>
        <v>5.513106415402369E-4</v>
      </c>
    </row>
    <row r="231" spans="1:13" x14ac:dyDescent="0.35">
      <c r="A231" s="9">
        <v>45947</v>
      </c>
      <c r="B231" s="3">
        <v>7.21</v>
      </c>
      <c r="C231" s="29">
        <f t="shared" si="19"/>
        <v>-1.2405396857487741E-2</v>
      </c>
      <c r="D231" s="3">
        <v>10.93</v>
      </c>
      <c r="E231" s="48">
        <f t="shared" si="20"/>
        <v>1.5675747454808858E-2</v>
      </c>
      <c r="F231" s="3">
        <v>20.9</v>
      </c>
      <c r="G231" s="50">
        <f t="shared" si="21"/>
        <v>2.5685928732050778E-2</v>
      </c>
      <c r="H231" s="3">
        <v>33.293269166000002</v>
      </c>
      <c r="I231" s="52">
        <f t="shared" si="22"/>
        <v>3.6090264795422262E-3</v>
      </c>
      <c r="J231" s="3">
        <v>143398.63</v>
      </c>
      <c r="K231" s="54">
        <f t="shared" si="23"/>
        <v>8.3937164078210832E-3</v>
      </c>
      <c r="L231" s="3">
        <v>14.9</v>
      </c>
      <c r="M231" s="55">
        <f t="shared" si="18"/>
        <v>5.513106415402369E-4</v>
      </c>
    </row>
    <row r="232" spans="1:13" x14ac:dyDescent="0.35">
      <c r="A232" s="9">
        <v>45950</v>
      </c>
      <c r="B232" s="3">
        <v>7.34</v>
      </c>
      <c r="C232" s="29">
        <f t="shared" si="19"/>
        <v>1.7869891329566498E-2</v>
      </c>
      <c r="D232" s="3">
        <v>10.8</v>
      </c>
      <c r="E232" s="48">
        <f t="shared" si="20"/>
        <v>-1.1965168058273112E-2</v>
      </c>
      <c r="F232" s="3">
        <v>20.77</v>
      </c>
      <c r="G232" s="50">
        <f t="shared" si="21"/>
        <v>-6.2395210827443813E-3</v>
      </c>
      <c r="H232" s="3">
        <v>33.753038119000003</v>
      </c>
      <c r="I232" s="52">
        <f t="shared" si="22"/>
        <v>1.3715182199065727E-2</v>
      </c>
      <c r="J232" s="3">
        <v>144509.32</v>
      </c>
      <c r="K232" s="54">
        <f t="shared" si="23"/>
        <v>7.7156293185313696E-3</v>
      </c>
      <c r="L232" s="3">
        <v>14.9</v>
      </c>
      <c r="M232" s="55">
        <f t="shared" si="18"/>
        <v>5.513106415402369E-4</v>
      </c>
    </row>
    <row r="233" spans="1:13" x14ac:dyDescent="0.35">
      <c r="A233" s="9">
        <v>45951</v>
      </c>
      <c r="B233" s="3">
        <v>7.55</v>
      </c>
      <c r="C233" s="29">
        <f t="shared" si="19"/>
        <v>2.8208720634509157E-2</v>
      </c>
      <c r="D233" s="3">
        <v>11</v>
      </c>
      <c r="E233" s="48">
        <f t="shared" si="20"/>
        <v>1.8349138668196398E-2</v>
      </c>
      <c r="F233" s="3">
        <v>20.54</v>
      </c>
      <c r="G233" s="50">
        <f t="shared" si="21"/>
        <v>-1.1135433387608838E-2</v>
      </c>
      <c r="H233" s="3">
        <v>33.613108437999998</v>
      </c>
      <c r="I233" s="52">
        <f t="shared" si="22"/>
        <v>-4.1543086371140523E-3</v>
      </c>
      <c r="J233" s="3">
        <v>144085.15</v>
      </c>
      <c r="K233" s="54">
        <f t="shared" si="23"/>
        <v>-2.9395594824673209E-3</v>
      </c>
      <c r="L233" s="3">
        <v>14.9</v>
      </c>
      <c r="M233" s="55">
        <f t="shared" si="18"/>
        <v>5.513106415402369E-4</v>
      </c>
    </row>
    <row r="234" spans="1:13" x14ac:dyDescent="0.35">
      <c r="A234" s="9">
        <v>45952</v>
      </c>
      <c r="B234" s="3">
        <v>7.33</v>
      </c>
      <c r="C234" s="29">
        <f t="shared" si="19"/>
        <v>-2.9572047362373226E-2</v>
      </c>
      <c r="D234" s="3">
        <v>11.42</v>
      </c>
      <c r="E234" s="48">
        <f t="shared" si="20"/>
        <v>3.747093142949353E-2</v>
      </c>
      <c r="F234" s="3">
        <v>20.69</v>
      </c>
      <c r="G234" s="50">
        <f t="shared" si="21"/>
        <v>7.2762872570395123E-3</v>
      </c>
      <c r="H234" s="3">
        <v>33.902962776999999</v>
      </c>
      <c r="I234" s="52">
        <f t="shared" si="22"/>
        <v>8.5862851483256321E-3</v>
      </c>
      <c r="J234" s="3">
        <v>144872.79</v>
      </c>
      <c r="K234" s="54">
        <f t="shared" si="23"/>
        <v>5.4516027538055881E-3</v>
      </c>
      <c r="L234" s="3">
        <v>14.9</v>
      </c>
      <c r="M234" s="55">
        <f t="shared" si="18"/>
        <v>5.513106415402369E-4</v>
      </c>
    </row>
    <row r="235" spans="1:13" x14ac:dyDescent="0.35">
      <c r="A235" s="9">
        <v>45953</v>
      </c>
      <c r="B235" s="3">
        <v>7.5</v>
      </c>
      <c r="C235" s="29">
        <f t="shared" si="19"/>
        <v>2.2927504643704591E-2</v>
      </c>
      <c r="D235" s="3">
        <v>11.65</v>
      </c>
      <c r="E235" s="48">
        <f t="shared" si="20"/>
        <v>1.9939975783845341E-2</v>
      </c>
      <c r="F235" s="3">
        <v>20.65</v>
      </c>
      <c r="G235" s="50">
        <f t="shared" si="21"/>
        <v>-1.9351723504100059E-3</v>
      </c>
      <c r="H235" s="3">
        <v>34.012907527000003</v>
      </c>
      <c r="I235" s="52">
        <f t="shared" si="22"/>
        <v>3.2376776017061949E-3</v>
      </c>
      <c r="J235" s="3">
        <v>145720.98000000001</v>
      </c>
      <c r="K235" s="54">
        <f t="shared" si="23"/>
        <v>5.8376503304133501E-3</v>
      </c>
      <c r="L235" s="3">
        <v>14.9</v>
      </c>
      <c r="M235" s="55">
        <f t="shared" si="18"/>
        <v>5.513106415402369E-4</v>
      </c>
    </row>
    <row r="236" spans="1:13" x14ac:dyDescent="0.35">
      <c r="A236" s="9">
        <v>45954</v>
      </c>
      <c r="B236" s="3">
        <v>7.51</v>
      </c>
      <c r="C236" s="29">
        <f t="shared" si="19"/>
        <v>1.3324452337786948E-3</v>
      </c>
      <c r="D236" s="3">
        <v>11.45</v>
      </c>
      <c r="E236" s="48">
        <f t="shared" si="20"/>
        <v>-1.7316450011461045E-2</v>
      </c>
      <c r="F236" s="3">
        <v>20.52</v>
      </c>
      <c r="G236" s="50">
        <f t="shared" si="21"/>
        <v>-6.3152991044729094E-3</v>
      </c>
      <c r="H236" s="3">
        <v>33.952937663999997</v>
      </c>
      <c r="I236" s="52">
        <f t="shared" si="22"/>
        <v>-1.7647063284389E-3</v>
      </c>
      <c r="J236" s="3">
        <v>146172.21</v>
      </c>
      <c r="K236" s="54">
        <f t="shared" si="23"/>
        <v>3.091749824236011E-3</v>
      </c>
      <c r="L236" s="3">
        <v>14.9</v>
      </c>
      <c r="M236" s="55">
        <f t="shared" si="18"/>
        <v>5.513106415402369E-4</v>
      </c>
    </row>
    <row r="237" spans="1:13" x14ac:dyDescent="0.35">
      <c r="A237" s="9">
        <v>45957</v>
      </c>
      <c r="B237" s="3">
        <v>7.56</v>
      </c>
      <c r="C237" s="29">
        <f t="shared" si="19"/>
        <v>6.6357244153982713E-3</v>
      </c>
      <c r="D237" s="3">
        <v>11.77</v>
      </c>
      <c r="E237" s="48">
        <f t="shared" si="20"/>
        <v>2.7564191271936673E-2</v>
      </c>
      <c r="F237" s="3">
        <v>20.85</v>
      </c>
      <c r="G237" s="50">
        <f t="shared" si="21"/>
        <v>1.5953927942241684E-2</v>
      </c>
      <c r="H237" s="3">
        <v>34.252786981</v>
      </c>
      <c r="I237" s="52">
        <f t="shared" si="22"/>
        <v>8.7925537134148461E-3</v>
      </c>
      <c r="J237" s="3">
        <v>146969.1</v>
      </c>
      <c r="K237" s="54">
        <f t="shared" si="23"/>
        <v>5.4369134326826196E-3</v>
      </c>
      <c r="L237" s="3">
        <v>14.9</v>
      </c>
      <c r="M237" s="55">
        <f t="shared" si="18"/>
        <v>5.513106415402369E-4</v>
      </c>
    </row>
    <row r="238" spans="1:13" x14ac:dyDescent="0.35">
      <c r="A238" s="9">
        <v>45958</v>
      </c>
      <c r="B238" s="3">
        <v>7.61</v>
      </c>
      <c r="C238" s="29">
        <f t="shared" si="19"/>
        <v>6.591981682152962E-3</v>
      </c>
      <c r="D238" s="3">
        <v>11.05</v>
      </c>
      <c r="E238" s="48">
        <f t="shared" si="20"/>
        <v>-6.3123493308423373E-2</v>
      </c>
      <c r="F238" s="3">
        <v>20.96</v>
      </c>
      <c r="G238" s="50">
        <f t="shared" si="21"/>
        <v>5.2619112080309702E-3</v>
      </c>
      <c r="H238" s="3">
        <v>34.372726706999998</v>
      </c>
      <c r="I238" s="52">
        <f t="shared" si="22"/>
        <v>3.4954885341419986E-3</v>
      </c>
      <c r="J238" s="3">
        <v>147428.9</v>
      </c>
      <c r="K238" s="54">
        <f t="shared" si="23"/>
        <v>3.1236650647524762E-3</v>
      </c>
      <c r="L238" s="3">
        <v>14.9</v>
      </c>
      <c r="M238" s="55">
        <f t="shared" si="18"/>
        <v>5.513106415402369E-4</v>
      </c>
    </row>
    <row r="239" spans="1:13" x14ac:dyDescent="0.35">
      <c r="A239" s="9">
        <v>45959</v>
      </c>
      <c r="B239" s="3">
        <v>7.55</v>
      </c>
      <c r="C239" s="29">
        <f t="shared" si="19"/>
        <v>-7.9156086126611989E-3</v>
      </c>
      <c r="D239" s="3">
        <v>10.72</v>
      </c>
      <c r="E239" s="48">
        <f t="shared" si="20"/>
        <v>-3.03192723211059E-2</v>
      </c>
      <c r="F239" s="3">
        <v>21.22</v>
      </c>
      <c r="G239" s="50">
        <f t="shared" si="21"/>
        <v>1.232827373299567E-2</v>
      </c>
      <c r="H239" s="3">
        <v>35.162329909</v>
      </c>
      <c r="I239" s="52">
        <f t="shared" si="22"/>
        <v>2.2711914880329621E-2</v>
      </c>
      <c r="J239" s="3">
        <v>148632.93</v>
      </c>
      <c r="K239" s="54">
        <f t="shared" si="23"/>
        <v>8.133683682839999E-3</v>
      </c>
      <c r="L239" s="3">
        <v>14.9</v>
      </c>
      <c r="M239" s="55">
        <f t="shared" si="18"/>
        <v>5.513106415402369E-4</v>
      </c>
    </row>
    <row r="240" spans="1:13" x14ac:dyDescent="0.35">
      <c r="A240" s="9">
        <v>45960</v>
      </c>
      <c r="B240" s="3">
        <v>7.62</v>
      </c>
      <c r="C240" s="29">
        <f t="shared" si="19"/>
        <v>9.2288064376217054E-3</v>
      </c>
      <c r="D240" s="3">
        <v>10.63</v>
      </c>
      <c r="E240" s="48">
        <f t="shared" si="20"/>
        <v>-8.4309632887994077E-3</v>
      </c>
      <c r="F240" s="3">
        <v>21.63</v>
      </c>
      <c r="G240" s="50">
        <f t="shared" si="21"/>
        <v>1.9137106779130303E-2</v>
      </c>
      <c r="H240" s="3">
        <v>35.052385159000004</v>
      </c>
      <c r="I240" s="52">
        <f t="shared" si="22"/>
        <v>-3.1316751694974504E-3</v>
      </c>
      <c r="J240" s="3">
        <v>148780.22</v>
      </c>
      <c r="K240" s="54">
        <f t="shared" si="23"/>
        <v>9.9047410675311902E-4</v>
      </c>
      <c r="L240" s="3">
        <v>14.9</v>
      </c>
      <c r="M240" s="55">
        <f t="shared" si="18"/>
        <v>5.513106415402369E-4</v>
      </c>
    </row>
    <row r="241" spans="1:13" x14ac:dyDescent="0.35">
      <c r="A241" s="9">
        <v>45961</v>
      </c>
      <c r="B241" s="3">
        <v>6.82</v>
      </c>
      <c r="C241" s="29">
        <f t="shared" si="19"/>
        <v>-0.11091689784318418</v>
      </c>
      <c r="D241" s="3">
        <v>10.99</v>
      </c>
      <c r="E241" s="48">
        <f t="shared" si="20"/>
        <v>3.3305576061673427E-2</v>
      </c>
      <c r="F241" s="3">
        <v>21.9</v>
      </c>
      <c r="G241" s="50">
        <f t="shared" si="21"/>
        <v>1.2405396857487731E-2</v>
      </c>
      <c r="H241" s="3">
        <v>35.122349999999997</v>
      </c>
      <c r="I241" s="52">
        <f t="shared" si="22"/>
        <v>1.9940186172072933E-3</v>
      </c>
      <c r="J241" s="3">
        <v>149540.43</v>
      </c>
      <c r="K241" s="54">
        <f t="shared" si="23"/>
        <v>5.0966075969805643E-3</v>
      </c>
      <c r="L241" s="3">
        <v>14.9</v>
      </c>
      <c r="M241" s="55">
        <f t="shared" si="18"/>
        <v>5.513106415402369E-4</v>
      </c>
    </row>
    <row r="242" spans="1:13" x14ac:dyDescent="0.35">
      <c r="A242" s="9">
        <v>45964</v>
      </c>
      <c r="B242" s="3">
        <v>6.47</v>
      </c>
      <c r="C242" s="29">
        <f t="shared" si="19"/>
        <v>-5.2683363342561601E-2</v>
      </c>
      <c r="D242" s="3">
        <v>10.83</v>
      </c>
      <c r="E242" s="48">
        <f t="shared" si="20"/>
        <v>-1.4665707402630764E-2</v>
      </c>
      <c r="F242" s="3">
        <v>22.08</v>
      </c>
      <c r="G242" s="50">
        <f t="shared" si="21"/>
        <v>8.1855845864395021E-3</v>
      </c>
      <c r="H242" s="3">
        <v>35.659999999999997</v>
      </c>
      <c r="I242" s="52">
        <f t="shared" si="22"/>
        <v>1.5191932467047135E-2</v>
      </c>
      <c r="J242" s="3">
        <v>150454.24</v>
      </c>
      <c r="K242" s="54">
        <f t="shared" si="23"/>
        <v>6.0921937467961797E-3</v>
      </c>
      <c r="L242" s="3">
        <v>14.9</v>
      </c>
      <c r="M242" s="55">
        <f t="shared" si="18"/>
        <v>5.513106415402369E-4</v>
      </c>
    </row>
    <row r="243" spans="1:13" x14ac:dyDescent="0.35">
      <c r="A243" s="9">
        <v>45965</v>
      </c>
      <c r="B243" s="3">
        <v>6.55</v>
      </c>
      <c r="C243" s="29">
        <f t="shared" si="19"/>
        <v>1.2288941134351314E-2</v>
      </c>
      <c r="D243" s="3">
        <v>11.11</v>
      </c>
      <c r="E243" s="48">
        <f t="shared" si="20"/>
        <v>2.5525542638639358E-2</v>
      </c>
      <c r="F243" s="3">
        <v>22.27</v>
      </c>
      <c r="G243" s="50">
        <f t="shared" si="21"/>
        <v>8.5682598603816513E-3</v>
      </c>
      <c r="H243" s="3">
        <v>35.51</v>
      </c>
      <c r="I243" s="52">
        <f t="shared" si="22"/>
        <v>-4.2152654799977717E-3</v>
      </c>
      <c r="J243" s="3">
        <v>150704.20000000001</v>
      </c>
      <c r="K243" s="54">
        <f t="shared" si="23"/>
        <v>1.6599903851175189E-3</v>
      </c>
      <c r="L243" s="3">
        <v>14.9</v>
      </c>
      <c r="M243" s="55">
        <f t="shared" si="18"/>
        <v>5.513106415402369E-4</v>
      </c>
    </row>
    <row r="244" spans="1:13" x14ac:dyDescent="0.35">
      <c r="A244" s="9">
        <v>45966</v>
      </c>
      <c r="B244" s="3">
        <v>6.58</v>
      </c>
      <c r="C244" s="29">
        <f t="shared" si="19"/>
        <v>4.5696956900652683E-3</v>
      </c>
      <c r="D244" s="3">
        <v>11.6</v>
      </c>
      <c r="E244" s="48">
        <f t="shared" si="20"/>
        <v>4.3159494460780413E-2</v>
      </c>
      <c r="F244" s="3">
        <v>22.61</v>
      </c>
      <c r="G244" s="50">
        <f t="shared" si="21"/>
        <v>1.5151805020602246E-2</v>
      </c>
      <c r="H244" s="3">
        <v>35.75</v>
      </c>
      <c r="I244" s="52">
        <f t="shared" si="22"/>
        <v>6.7359221850202752E-3</v>
      </c>
      <c r="J244" s="3">
        <v>153294.44</v>
      </c>
      <c r="K244" s="54">
        <f t="shared" si="23"/>
        <v>1.70415412815954E-2</v>
      </c>
      <c r="L244" s="3">
        <v>14.9</v>
      </c>
      <c r="M244" s="55">
        <f t="shared" si="18"/>
        <v>5.513106415402369E-4</v>
      </c>
    </row>
    <row r="245" spans="1:13" x14ac:dyDescent="0.35">
      <c r="A245" s="9">
        <v>45967</v>
      </c>
      <c r="B245" s="3">
        <v>6.38</v>
      </c>
      <c r="C245" s="29">
        <f t="shared" si="19"/>
        <v>-3.0866647980527382E-2</v>
      </c>
      <c r="D245" s="3">
        <v>11.67</v>
      </c>
      <c r="E245" s="48">
        <f t="shared" si="20"/>
        <v>6.0163481861456938E-3</v>
      </c>
      <c r="F245" s="3">
        <v>22.86</v>
      </c>
      <c r="G245" s="50">
        <f t="shared" si="21"/>
        <v>1.0996372076786057E-2</v>
      </c>
      <c r="H245" s="3">
        <v>35.799999999999997</v>
      </c>
      <c r="I245" s="52">
        <f t="shared" si="22"/>
        <v>1.3976242666379351E-3</v>
      </c>
      <c r="J245" s="3">
        <v>153338.63</v>
      </c>
      <c r="K245" s="54">
        <f t="shared" si="23"/>
        <v>2.8822723071528884E-4</v>
      </c>
      <c r="L245" s="3">
        <v>14.9</v>
      </c>
      <c r="M245" s="55">
        <f t="shared" si="18"/>
        <v>5.513106415402369E-4</v>
      </c>
    </row>
    <row r="246" spans="1:13" x14ac:dyDescent="0.35">
      <c r="A246" s="9">
        <v>45968</v>
      </c>
      <c r="B246" s="3">
        <v>6.37</v>
      </c>
      <c r="C246" s="29">
        <f t="shared" si="19"/>
        <v>-1.568627772626487E-3</v>
      </c>
      <c r="D246" s="3">
        <v>11.33</v>
      </c>
      <c r="E246" s="48">
        <f t="shared" si="20"/>
        <v>-2.9567371258549659E-2</v>
      </c>
      <c r="F246" s="3">
        <v>22.89</v>
      </c>
      <c r="G246" s="50">
        <f t="shared" si="21"/>
        <v>1.3114755978108771E-3</v>
      </c>
      <c r="H246" s="3">
        <v>35.75</v>
      </c>
      <c r="I246" s="52">
        <f t="shared" si="22"/>
        <v>-1.3976242666378616E-3</v>
      </c>
      <c r="J246" s="3">
        <v>154063.53</v>
      </c>
      <c r="K246" s="54">
        <f t="shared" si="23"/>
        <v>4.716306116358232E-3</v>
      </c>
      <c r="L246" s="3">
        <v>14.9</v>
      </c>
      <c r="M246" s="55">
        <f t="shared" si="18"/>
        <v>5.513106415402369E-4</v>
      </c>
    </row>
    <row r="247" spans="1:13" x14ac:dyDescent="0.35">
      <c r="A247" s="9">
        <v>45971</v>
      </c>
      <c r="B247" s="3">
        <v>6.57</v>
      </c>
      <c r="C247" s="29">
        <f t="shared" si="19"/>
        <v>3.091436291244715E-2</v>
      </c>
      <c r="D247" s="3">
        <v>11.55</v>
      </c>
      <c r="E247" s="48">
        <f t="shared" si="20"/>
        <v>1.9231361927887592E-2</v>
      </c>
      <c r="F247" s="3">
        <v>22.78</v>
      </c>
      <c r="G247" s="50">
        <f t="shared" si="21"/>
        <v>-4.8171759454392607E-3</v>
      </c>
      <c r="H247" s="3">
        <v>36.03</v>
      </c>
      <c r="I247" s="52">
        <f t="shared" si="22"/>
        <v>7.8016556199851511E-3</v>
      </c>
      <c r="J247" s="3">
        <v>155257.31</v>
      </c>
      <c r="K247" s="54">
        <f t="shared" si="23"/>
        <v>7.7187552382856819E-3</v>
      </c>
      <c r="L247" s="3">
        <v>14.9</v>
      </c>
      <c r="M247" s="55">
        <f t="shared" si="18"/>
        <v>5.513106415402369E-4</v>
      </c>
    </row>
    <row r="248" spans="1:13" x14ac:dyDescent="0.35">
      <c r="A248" s="9">
        <v>45972</v>
      </c>
      <c r="B248" s="3">
        <v>6.5</v>
      </c>
      <c r="C248" s="29">
        <f t="shared" si="19"/>
        <v>-1.0711655594927772E-2</v>
      </c>
      <c r="D248" s="3">
        <v>11.53</v>
      </c>
      <c r="E248" s="48">
        <f t="shared" si="20"/>
        <v>-1.7331026868349639E-3</v>
      </c>
      <c r="F248" s="3">
        <v>23.47</v>
      </c>
      <c r="G248" s="50">
        <f t="shared" si="21"/>
        <v>2.98400518438959E-2</v>
      </c>
      <c r="H248" s="3">
        <v>36.590000000000003</v>
      </c>
      <c r="I248" s="52">
        <f t="shared" si="22"/>
        <v>1.5423054271113687E-2</v>
      </c>
      <c r="J248" s="3">
        <v>157748.6</v>
      </c>
      <c r="K248" s="54">
        <f t="shared" si="23"/>
        <v>1.5918821528715644E-2</v>
      </c>
      <c r="L248" s="3">
        <v>14.9</v>
      </c>
      <c r="M248" s="55">
        <f t="shared" si="18"/>
        <v>5.513106415402369E-4</v>
      </c>
    </row>
    <row r="249" spans="1:13" x14ac:dyDescent="0.35">
      <c r="A249" s="9">
        <v>45973</v>
      </c>
      <c r="B249" s="3">
        <v>6.38</v>
      </c>
      <c r="C249" s="29">
        <f t="shared" si="19"/>
        <v>-1.8634079544892983E-2</v>
      </c>
      <c r="D249" s="3">
        <v>11.45</v>
      </c>
      <c r="E249" s="48">
        <f t="shared" si="20"/>
        <v>-6.9626042807190546E-3</v>
      </c>
      <c r="F249" s="3">
        <v>22.8</v>
      </c>
      <c r="G249" s="50">
        <f t="shared" si="21"/>
        <v>-2.8962473902537002E-2</v>
      </c>
      <c r="H249" s="3">
        <v>35.700000000000003</v>
      </c>
      <c r="I249" s="52">
        <f t="shared" si="22"/>
        <v>-2.4624290245522016E-2</v>
      </c>
      <c r="J249" s="3">
        <v>157632.9</v>
      </c>
      <c r="K249" s="54">
        <f t="shared" si="23"/>
        <v>-7.3371459765700765E-4</v>
      </c>
      <c r="L249" s="3">
        <v>14.9</v>
      </c>
      <c r="M249" s="55">
        <f t="shared" si="18"/>
        <v>5.513106415402369E-4</v>
      </c>
    </row>
    <row r="250" spans="1:13" x14ac:dyDescent="0.35">
      <c r="A250" s="9">
        <v>45974</v>
      </c>
      <c r="B250" s="3">
        <v>6.39</v>
      </c>
      <c r="C250" s="29">
        <f t="shared" si="19"/>
        <v>1.5661710327448761E-3</v>
      </c>
      <c r="D250" s="3">
        <v>11.28</v>
      </c>
      <c r="E250" s="48">
        <f t="shared" si="20"/>
        <v>-1.4958483930335761E-2</v>
      </c>
      <c r="F250" s="3">
        <v>22.5</v>
      </c>
      <c r="G250" s="50">
        <f t="shared" si="21"/>
        <v>-1.324522675002068E-2</v>
      </c>
      <c r="H250" s="3">
        <v>35.79</v>
      </c>
      <c r="I250" s="52">
        <f t="shared" si="22"/>
        <v>2.5178359923410348E-3</v>
      </c>
      <c r="J250" s="3">
        <v>157162.43</v>
      </c>
      <c r="K250" s="54">
        <f t="shared" si="23"/>
        <v>-2.9890554620527481E-3</v>
      </c>
      <c r="L250" s="3">
        <v>14.9</v>
      </c>
      <c r="M250" s="55">
        <f t="shared" si="18"/>
        <v>5.513106415402369E-4</v>
      </c>
    </row>
    <row r="251" spans="1:13" x14ac:dyDescent="0.35">
      <c r="A251" s="9">
        <v>45975</v>
      </c>
      <c r="B251" s="3">
        <v>6.46</v>
      </c>
      <c r="C251" s="29">
        <f t="shared" si="19"/>
        <v>1.0895049405066982E-2</v>
      </c>
      <c r="D251" s="3">
        <v>11.17</v>
      </c>
      <c r="E251" s="48">
        <f t="shared" si="20"/>
        <v>-9.7996329888034705E-3</v>
      </c>
      <c r="F251" s="3">
        <v>22.44</v>
      </c>
      <c r="G251" s="50">
        <f t="shared" si="21"/>
        <v>-2.6702285558788097E-3</v>
      </c>
      <c r="H251" s="3">
        <v>35.92</v>
      </c>
      <c r="I251" s="52">
        <f t="shared" si="22"/>
        <v>3.6257186560645304E-3</v>
      </c>
      <c r="J251" s="3">
        <v>157738.69</v>
      </c>
      <c r="K251" s="54">
        <f t="shared" si="23"/>
        <v>3.6599466096539708E-3</v>
      </c>
      <c r="L251" s="3">
        <v>14.9</v>
      </c>
      <c r="M251" s="55">
        <f t="shared" si="18"/>
        <v>5.513106415402369E-4</v>
      </c>
    </row>
    <row r="252" spans="1:13" x14ac:dyDescent="0.35">
      <c r="A252" s="9">
        <v>45978</v>
      </c>
      <c r="B252" s="4">
        <v>6.33</v>
      </c>
      <c r="C252" s="30">
        <f t="shared" si="19"/>
        <v>-2.0329081638425672E-2</v>
      </c>
      <c r="D252" s="4">
        <v>11.09</v>
      </c>
      <c r="E252" s="49">
        <f t="shared" si="20"/>
        <v>-7.1878117188336789E-3</v>
      </c>
      <c r="F252" s="4">
        <v>22.5</v>
      </c>
      <c r="G252" s="51">
        <f t="shared" si="21"/>
        <v>2.6702285558788921E-3</v>
      </c>
      <c r="H252" s="4">
        <v>35.64</v>
      </c>
      <c r="I252" s="53">
        <f t="shared" si="22"/>
        <v>-7.8256408313903767E-3</v>
      </c>
      <c r="J252" s="4">
        <v>156992.93</v>
      </c>
      <c r="K252" s="54">
        <f t="shared" si="23"/>
        <v>-4.7390306427736138E-3</v>
      </c>
      <c r="L252" s="4">
        <v>14.9</v>
      </c>
      <c r="M252" s="56">
        <f t="shared" si="18"/>
        <v>5.513106415402369E-4</v>
      </c>
    </row>
    <row r="253" spans="1:13" x14ac:dyDescent="0.35">
      <c r="A253" s="2" t="s">
        <v>10</v>
      </c>
      <c r="B253" s="159">
        <f>SUM(C4:C252)</f>
        <v>-2.3787866406326165E-2</v>
      </c>
      <c r="C253" s="159"/>
      <c r="D253" s="160">
        <f>SUM(E4:E252)</f>
        <v>0.13033077014351802</v>
      </c>
      <c r="E253" s="160"/>
      <c r="F253" s="161">
        <f>SUM(G4:G252)</f>
        <v>-6.5815488675701445E-2</v>
      </c>
      <c r="G253" s="161"/>
      <c r="H253" s="162">
        <f>SUM(I4:I252)</f>
        <v>0.37406114906913634</v>
      </c>
      <c r="I253" s="162"/>
      <c r="J253" s="163">
        <f>SUM(K4:K252)</f>
        <v>0.20598316606399353</v>
      </c>
      <c r="K253" s="163"/>
      <c r="L253" s="152">
        <f>SUM(M4:M252)</f>
        <v>0.12908464182741208</v>
      </c>
      <c r="M253" s="152"/>
    </row>
    <row r="254" spans="1:13" x14ac:dyDescent="0.35">
      <c r="A254" s="2" t="s">
        <v>11</v>
      </c>
      <c r="B254" s="153">
        <f>STDEV(C4:C252)*SQRT(252)</f>
        <v>0.38079503160915357</v>
      </c>
      <c r="C254" s="153"/>
      <c r="D254" s="154">
        <f>STDEV(E4:E252)*SQRT(252)</f>
        <v>0.32944090804348486</v>
      </c>
      <c r="E254" s="154"/>
      <c r="F254" s="155">
        <f>STDEV(G4:G252)*SQRT(252)</f>
        <v>0.27934694130047294</v>
      </c>
      <c r="G254" s="155"/>
      <c r="H254" s="156">
        <f>STDEV(I4:I252)*SQRT(252)</f>
        <v>0.19429123877890941</v>
      </c>
      <c r="I254" s="156"/>
      <c r="J254" s="157">
        <f>STDEV(K4:K252)*SQRT(252)</f>
        <v>0.15370263582835361</v>
      </c>
      <c r="K254" s="157"/>
      <c r="L254" s="158">
        <f t="shared" ref="L254" si="24">STDEV(M4:M252)</f>
        <v>4.2185921500502122E-5</v>
      </c>
      <c r="M254" s="158"/>
    </row>
    <row r="255" spans="1:13" x14ac:dyDescent="0.35">
      <c r="A255" s="2" t="s">
        <v>12</v>
      </c>
      <c r="B255" s="164">
        <f>B254/B253</f>
        <v>-16.007952336065106</v>
      </c>
      <c r="C255" s="164"/>
      <c r="D255" s="165">
        <f>D254/D253</f>
        <v>2.5277293127379679</v>
      </c>
      <c r="E255" s="165"/>
      <c r="F255" s="151">
        <f>F254/F253</f>
        <v>-4.2443951556285509</v>
      </c>
      <c r="G255" s="151"/>
      <c r="H255" s="149">
        <f>H254/H253</f>
        <v>0.51941036716165168</v>
      </c>
      <c r="I255" s="149"/>
      <c r="J255" s="166">
        <f>J254/J253</f>
        <v>0.74619027741617616</v>
      </c>
      <c r="K255" s="166"/>
      <c r="L255" s="149"/>
      <c r="M255" s="149"/>
    </row>
    <row r="257" spans="1:17" ht="18" x14ac:dyDescent="0.4">
      <c r="A257" s="10"/>
      <c r="B257" s="11" t="s">
        <v>10</v>
      </c>
      <c r="C257" s="11" t="s">
        <v>11</v>
      </c>
      <c r="D257" s="12" t="s">
        <v>12</v>
      </c>
      <c r="E257" s="62" t="s">
        <v>322</v>
      </c>
      <c r="L257" s="40" t="s">
        <v>0</v>
      </c>
      <c r="M257" s="41" t="s">
        <v>1</v>
      </c>
      <c r="N257" s="42" t="s">
        <v>2</v>
      </c>
      <c r="O257" s="43" t="s">
        <v>3</v>
      </c>
      <c r="P257" s="44" t="s">
        <v>4</v>
      </c>
    </row>
    <row r="258" spans="1:17" ht="18" x14ac:dyDescent="0.4">
      <c r="A258" s="13" t="s">
        <v>0</v>
      </c>
      <c r="B258" s="14">
        <f>AVERAGE(C4:C252)*252</f>
        <v>-2.4074467206402383E-2</v>
      </c>
      <c r="C258" s="14">
        <f>_xlfn.STDEV.S(C4:C252)*SQRT(252)</f>
        <v>0.38079503160915357</v>
      </c>
      <c r="D258" s="15">
        <f>C258/B258</f>
        <v>-15.817381474921474</v>
      </c>
      <c r="E258" s="32">
        <f>B258/C258</f>
        <v>-6.3221589590255783E-2</v>
      </c>
      <c r="K258" s="35" t="s">
        <v>0</v>
      </c>
      <c r="L258">
        <v>1</v>
      </c>
      <c r="M258" s="47">
        <f>CORREL($C$4:$C$252,$E$4:$E$252)</f>
        <v>0.31598792405528292</v>
      </c>
      <c r="N258" s="47">
        <f>CORREL($C$4:$C$252,$F$4:$F$252)</f>
        <v>-2.1283482893791707E-2</v>
      </c>
      <c r="O258" s="47">
        <f>CORREL($C$4:$C$252,$G$4:$G$252)</f>
        <v>0.21109999286186426</v>
      </c>
      <c r="P258" s="47">
        <f>CORREL($C$4:$C$252,$H$4:$H$252)</f>
        <v>6.4321547462737313E-2</v>
      </c>
    </row>
    <row r="259" spans="1:17" ht="18" x14ac:dyDescent="0.4">
      <c r="A259" s="16" t="s">
        <v>1</v>
      </c>
      <c r="B259" s="59">
        <f>AVERAGE(E4:E252)*252</f>
        <v>0.13190102038621102</v>
      </c>
      <c r="C259" s="59">
        <f>_xlfn.STDEV.S(E4:E252)*SQRT(252)</f>
        <v>0.32944090804348486</v>
      </c>
      <c r="D259" s="17">
        <f>C259/B259</f>
        <v>2.4976372971101348</v>
      </c>
      <c r="E259" s="32">
        <f t="shared" ref="E259:E262" si="25">B259/C259</f>
        <v>0.40037839007170478</v>
      </c>
      <c r="K259" s="36" t="s">
        <v>1</v>
      </c>
      <c r="L259" s="45"/>
      <c r="M259">
        <v>1</v>
      </c>
      <c r="N259" s="47">
        <f>CORREL($E$4:$E$252,$G$4:$G$252)</f>
        <v>0.28086882359168602</v>
      </c>
      <c r="O259" s="47">
        <f>CORREL($E$4:$E$252,$H$4:$H$252)</f>
        <v>0.10713951409946629</v>
      </c>
      <c r="P259" s="47">
        <f>CORREL($E$4:$E$252,$I$4:$I$252)</f>
        <v>0.4396958106563586</v>
      </c>
    </row>
    <row r="260" spans="1:17" ht="18" x14ac:dyDescent="0.4">
      <c r="A260" s="18" t="s">
        <v>2</v>
      </c>
      <c r="B260" s="19">
        <f>AVERAGE(G4:G252)*252</f>
        <v>-6.6608446370589422E-2</v>
      </c>
      <c r="C260" s="19">
        <f>_xlfn.STDEV.S(G4:G252)*SQRT(252)</f>
        <v>0.27934694130047294</v>
      </c>
      <c r="D260" s="20">
        <f>C260/B260</f>
        <v>-4.1938666418710673</v>
      </c>
      <c r="E260" s="32">
        <f t="shared" si="25"/>
        <v>-0.23844344262550424</v>
      </c>
      <c r="K260" s="37" t="s">
        <v>2</v>
      </c>
      <c r="L260" s="45"/>
      <c r="M260" s="45"/>
      <c r="N260">
        <v>1</v>
      </c>
      <c r="O260" s="47">
        <f>CORREL($G$4:$G$252,$I$4:$I$252)</f>
        <v>0.44659254604698495</v>
      </c>
      <c r="P260" s="47">
        <f>CORREL($G$4:$G$252,$J$4:$J$252)</f>
        <v>4.3710875488682591E-3</v>
      </c>
    </row>
    <row r="261" spans="1:17" ht="18" x14ac:dyDescent="0.4">
      <c r="A261" s="21" t="s">
        <v>3</v>
      </c>
      <c r="B261" s="22">
        <f>AVERAGE(I4:I252)*252</f>
        <v>0.37856790990129457</v>
      </c>
      <c r="C261" s="22">
        <f>_xlfn.STDEV.S(I4:I252)*SQRT(252)</f>
        <v>0.19429123877890941</v>
      </c>
      <c r="D261" s="23">
        <f>C261/B261</f>
        <v>0.51322691040972723</v>
      </c>
      <c r="E261" s="32">
        <f t="shared" si="25"/>
        <v>1.9484558968306329</v>
      </c>
      <c r="K261" s="38" t="s">
        <v>3</v>
      </c>
      <c r="L261" s="45"/>
      <c r="M261" s="45"/>
      <c r="N261" s="45"/>
      <c r="O261">
        <v>1</v>
      </c>
      <c r="P261" s="57">
        <f>CORREL($I$4:$I$252,$K$4:$K$252)</f>
        <v>0.78110700463406058</v>
      </c>
    </row>
    <row r="262" spans="1:17" ht="18" x14ac:dyDescent="0.4">
      <c r="A262" s="24" t="s">
        <v>4</v>
      </c>
      <c r="B262" s="63">
        <f>AVERAGE(K4:K252)*252</f>
        <v>0.20846489095633081</v>
      </c>
      <c r="C262" s="25">
        <f>_xlfn.STDEV.S(K4:K252)*SQRT(252)</f>
        <v>0.15370263582835361</v>
      </c>
      <c r="D262" s="26">
        <f>C262/B262</f>
        <v>0.73730705982788836</v>
      </c>
      <c r="E262" s="32">
        <f t="shared" si="25"/>
        <v>1.3562870267828886</v>
      </c>
      <c r="K262" s="39" t="s">
        <v>4</v>
      </c>
      <c r="L262" s="45"/>
      <c r="M262" s="45"/>
      <c r="N262" s="45"/>
      <c r="O262" s="45"/>
      <c r="P262">
        <v>1</v>
      </c>
    </row>
    <row r="263" spans="1:17" x14ac:dyDescent="0.35">
      <c r="A263" s="33" t="s">
        <v>13</v>
      </c>
      <c r="B263" s="60">
        <f>AVERAGE(M4:M252)*252</f>
        <v>0.13063987847593511</v>
      </c>
      <c r="C263" s="61">
        <v>0</v>
      </c>
      <c r="D263" s="34">
        <v>0</v>
      </c>
      <c r="E263" s="2" t="s">
        <v>323</v>
      </c>
    </row>
    <row r="264" spans="1:17" x14ac:dyDescent="0.35">
      <c r="A264" s="27" t="s">
        <v>14</v>
      </c>
      <c r="B264" s="69" t="s">
        <v>321</v>
      </c>
      <c r="C264" s="70" t="s">
        <v>3</v>
      </c>
    </row>
    <row r="265" spans="1:17" x14ac:dyDescent="0.35">
      <c r="M265" t="s">
        <v>320</v>
      </c>
    </row>
    <row r="266" spans="1:17" x14ac:dyDescent="0.35">
      <c r="A266" s="150"/>
      <c r="B266" s="150"/>
      <c r="C266" s="150"/>
      <c r="D266" s="150"/>
      <c r="E266" s="150"/>
      <c r="F266" s="150"/>
      <c r="G266" s="150"/>
      <c r="H266" s="150"/>
      <c r="I266" s="150"/>
      <c r="J266" s="150"/>
      <c r="M266" t="str" cm="1">
        <f t="array" ref="M266">_xlfn._xlws.FILTER(A273:A572,J273:J572 = _xlfn.MINIFS(J273:J572,J273:J572, "&gt;0"), "Nenhum encontrado")</f>
        <v>w203</v>
      </c>
      <c r="N266">
        <f>_xlfn.MINIFS(J273:J572, J273:J572, "&gt;0")</f>
        <v>2.132668631714481</v>
      </c>
      <c r="O266" t="s">
        <v>331</v>
      </c>
    </row>
    <row r="267" spans="1:17" x14ac:dyDescent="0.35">
      <c r="M267" t="str" cm="1">
        <f t="array" ref="M267">_xlfn._xlws.FILTER(A273:A372,J273:J372 = _xlfn.MINIFS(J273:J372,J273:J372, "&gt;0"), "Nenhum encontrado")</f>
        <v>w17</v>
      </c>
      <c r="N267">
        <f>_xlfn.MINIFS(J273:J372, J273:J372, "&gt;0")</f>
        <v>3.3140997428548795</v>
      </c>
      <c r="O267" t="s">
        <v>332</v>
      </c>
    </row>
    <row r="268" spans="1:17" x14ac:dyDescent="0.35">
      <c r="M268" t="str" cm="1">
        <f t="array" ref="M268">_xlfn._xlws.FILTER(A273:A472,J273:J472 = _xlfn.MINIFS(J273:J472,J273:J472, "&gt;0"), "Nenhum encontrado")</f>
        <v>w161</v>
      </c>
      <c r="N268">
        <f>_xlfn.MINIFS(J273:J472, J273:J472, "&gt;0")</f>
        <v>3.2111300833649721</v>
      </c>
      <c r="O268" t="s">
        <v>333</v>
      </c>
    </row>
    <row r="269" spans="1:17" x14ac:dyDescent="0.35">
      <c r="L269" t="s">
        <v>334</v>
      </c>
      <c r="M269" t="s">
        <v>325</v>
      </c>
      <c r="N269">
        <v>0.51</v>
      </c>
    </row>
    <row r="270" spans="1:17" x14ac:dyDescent="0.35">
      <c r="L270" t="s">
        <v>335</v>
      </c>
      <c r="N270">
        <v>0.74</v>
      </c>
    </row>
    <row r="271" spans="1:17" x14ac:dyDescent="0.35">
      <c r="H271" t="s">
        <v>15</v>
      </c>
      <c r="L271" t="s">
        <v>336</v>
      </c>
      <c r="N271">
        <v>0</v>
      </c>
    </row>
    <row r="272" spans="1:17" ht="18" x14ac:dyDescent="0.4">
      <c r="B272" s="40" t="s">
        <v>0</v>
      </c>
      <c r="C272" s="41" t="s">
        <v>1</v>
      </c>
      <c r="D272" s="42" t="s">
        <v>2</v>
      </c>
      <c r="E272" s="43" t="s">
        <v>3</v>
      </c>
      <c r="F272" s="44" t="s">
        <v>4</v>
      </c>
      <c r="G272" s="82" t="s">
        <v>13</v>
      </c>
      <c r="H272" t="s">
        <v>16</v>
      </c>
      <c r="I272" t="s">
        <v>17</v>
      </c>
      <c r="J272" t="s">
        <v>12</v>
      </c>
      <c r="K272" s="150"/>
      <c r="L272" s="150"/>
      <c r="M272" s="40" t="s">
        <v>0</v>
      </c>
      <c r="N272" s="41" t="s">
        <v>1</v>
      </c>
      <c r="O272" s="42" t="s">
        <v>2</v>
      </c>
      <c r="P272" s="43" t="s">
        <v>3</v>
      </c>
      <c r="Q272" s="44" t="s">
        <v>4</v>
      </c>
    </row>
    <row r="273" spans="1:17" ht="18" x14ac:dyDescent="0.4">
      <c r="A273" s="2" t="s">
        <v>18</v>
      </c>
      <c r="B273" s="71">
        <v>0.33607369714274271</v>
      </c>
      <c r="C273" s="73">
        <v>0.21531505556768579</v>
      </c>
      <c r="D273" s="75">
        <v>0.18061902221277221</v>
      </c>
      <c r="E273">
        <v>0.26799222507679948</v>
      </c>
      <c r="F273" s="76">
        <v>0</v>
      </c>
      <c r="G273" s="79">
        <v>0</v>
      </c>
      <c r="H273" s="58">
        <f>B273*$B$253+C273*$D$253+D273*$F$253+E273*$H$253+F273*$J$253+G273*$L$253</f>
        <v>0.10842565124808043</v>
      </c>
      <c r="I273" cm="1">
        <f t="array" ref="I273">SQRT(MMULT(B273:F273,MMULT($M$273:$Q$277,TRANSPOSE(B273:F273))))</f>
        <v>0.6498971442315028</v>
      </c>
      <c r="J273">
        <f>I273/H273</f>
        <v>5.9939427317298088</v>
      </c>
      <c r="L273" s="35" t="s">
        <v>0</v>
      </c>
      <c r="M273">
        <v>1</v>
      </c>
      <c r="N273" s="47">
        <f>CORREL($C$4:$C$252,$E$4:$E$252)</f>
        <v>0.31598792405528292</v>
      </c>
      <c r="O273" s="46">
        <f>CORREL($C$4:$C$252,$F$4:$F$252)</f>
        <v>-2.1283482893791707E-2</v>
      </c>
      <c r="P273" s="47">
        <f>CORREL($C$4:$C$252,$G$4:$G$252)</f>
        <v>0.21109999286186426</v>
      </c>
      <c r="Q273" s="47">
        <f>CORREL($C$4:$C$252,$H$4:$H$252)</f>
        <v>6.4321547462737313E-2</v>
      </c>
    </row>
    <row r="274" spans="1:17" ht="18" x14ac:dyDescent="0.4">
      <c r="A274" s="2" t="s">
        <v>19</v>
      </c>
      <c r="B274" s="71">
        <v>0.1693960855995246</v>
      </c>
      <c r="C274" s="73">
        <v>0.2400028848200626</v>
      </c>
      <c r="D274" s="75">
        <v>0.27712325455797587</v>
      </c>
      <c r="E274">
        <v>0.3134777750224369</v>
      </c>
      <c r="F274" s="76">
        <v>0</v>
      </c>
      <c r="G274" s="79">
        <v>0</v>
      </c>
      <c r="H274" s="58">
        <f t="shared" ref="H274:H337" si="26">B274*$B$253+C274*$D$253+D274*$F$253+E274*$H$253+F274*$J$253+G274*$L$253</f>
        <v>0.1262710436716637</v>
      </c>
      <c r="I274" cm="1">
        <f t="array" ref="I274">SQRT(MMULT(B274:F274,MMULT($M$273:$Q$277,TRANSPOSE(B274:F274))))</f>
        <v>0.66223280193248213</v>
      </c>
      <c r="J274">
        <f t="shared" ref="J274:J337" si="27">I274/H274</f>
        <v>5.2445341598225248</v>
      </c>
      <c r="L274" s="36" t="s">
        <v>1</v>
      </c>
      <c r="M274" s="47">
        <f>CORREL($C$4:$C$252,$E$4:$E$252)</f>
        <v>0.31598792405528292</v>
      </c>
      <c r="N274">
        <v>1</v>
      </c>
      <c r="O274" s="46">
        <f>CORREL($E$4:$E$252,$G$4:$G$252)</f>
        <v>0.28086882359168602</v>
      </c>
      <c r="P274" s="47">
        <f>CORREL($E$4:$E$252,$H$4:$H$252)</f>
        <v>0.10713951409946629</v>
      </c>
      <c r="Q274" s="47">
        <f>CORREL($E$4:$E$252,$I$4:$I$252)</f>
        <v>0.4396958106563586</v>
      </c>
    </row>
    <row r="275" spans="1:17" ht="18" x14ac:dyDescent="0.4">
      <c r="A275" s="2" t="s">
        <v>20</v>
      </c>
      <c r="B275" s="71">
        <v>0.22632472039464499</v>
      </c>
      <c r="C275" s="73">
        <v>0.3500628262795708</v>
      </c>
      <c r="D275" s="75">
        <v>0.20354730326601261</v>
      </c>
      <c r="E275">
        <v>0.2200651500597714</v>
      </c>
      <c r="F275" s="76">
        <v>0</v>
      </c>
      <c r="G275" s="79">
        <v>0</v>
      </c>
      <c r="H275" s="58">
        <f t="shared" si="26"/>
        <v>0.10916143320279227</v>
      </c>
      <c r="I275" cm="1">
        <f t="array" ref="I275">SQRT(MMULT(B275:F275,MMULT($M$273:$Q$277,TRANSPOSE(B275:F275))))</f>
        <v>0.65521520089249696</v>
      </c>
      <c r="J275">
        <f t="shared" si="27"/>
        <v>6.0022590549474115</v>
      </c>
      <c r="L275" s="37" t="s">
        <v>2</v>
      </c>
      <c r="M275" s="47">
        <f>CORREL($C$4:$C$252,$F$4:$F$252)</f>
        <v>-2.1283482893791707E-2</v>
      </c>
      <c r="N275" s="47">
        <f>CORREL($E$4:$E$252,$G$4:$G$252)</f>
        <v>0.28086882359168602</v>
      </c>
      <c r="O275">
        <v>1</v>
      </c>
      <c r="P275" s="47">
        <f>CORREL($G$4:$G$252,$I$4:$I$252)</f>
        <v>0.44659254604698495</v>
      </c>
      <c r="Q275" s="47">
        <f>CORREL($G$4:$G$252,$J$4:$J$252)</f>
        <v>4.3710875488682591E-3</v>
      </c>
    </row>
    <row r="276" spans="1:17" ht="18" x14ac:dyDescent="0.4">
      <c r="A276" s="2" t="s">
        <v>21</v>
      </c>
      <c r="B276" s="71">
        <v>5.289210639450978E-2</v>
      </c>
      <c r="C276" s="73">
        <v>0.27416223008467189</v>
      </c>
      <c r="D276" s="75">
        <v>0.29855072952311612</v>
      </c>
      <c r="E276">
        <v>0.37439493399770218</v>
      </c>
      <c r="F276" s="76">
        <v>0</v>
      </c>
      <c r="G276" s="79">
        <v>0</v>
      </c>
      <c r="H276" s="58">
        <f t="shared" si="26"/>
        <v>0.15487092128913077</v>
      </c>
      <c r="I276" cm="1">
        <f t="array" ref="I276">SQRT(MMULT(B276:F276,MMULT($M$273:$Q$277,TRANSPOSE(B276:F276))))</f>
        <v>0.70137689147124993</v>
      </c>
      <c r="J276">
        <f t="shared" si="27"/>
        <v>4.5287836195010378</v>
      </c>
      <c r="L276" s="38" t="s">
        <v>3</v>
      </c>
      <c r="M276" s="47">
        <f>CORREL($C$4:$C$252,$G$4:$G$252)</f>
        <v>0.21109999286186426</v>
      </c>
      <c r="N276" s="47">
        <f>CORREL($E$4:$E$252,$H$4:$H$252)</f>
        <v>0.10713951409946629</v>
      </c>
      <c r="O276" s="47">
        <f>CORREL($G$4:$G$252,$I$4:$I$252)</f>
        <v>0.44659254604698495</v>
      </c>
      <c r="P276">
        <v>1</v>
      </c>
      <c r="Q276" s="57">
        <f>CORREL($I$4:$I$252,$K$4:$K$252)</f>
        <v>0.78110700463406058</v>
      </c>
    </row>
    <row r="277" spans="1:17" ht="18" x14ac:dyDescent="0.4">
      <c r="A277" s="2" t="s">
        <v>22</v>
      </c>
      <c r="B277" s="71">
        <v>0.1146881117962763</v>
      </c>
      <c r="C277" s="73">
        <v>0.35417379916980241</v>
      </c>
      <c r="D277" s="75">
        <v>0.40364380049447901</v>
      </c>
      <c r="E277">
        <v>0.12749428853944231</v>
      </c>
      <c r="F277" s="76">
        <v>0</v>
      </c>
      <c r="G277" s="79">
        <v>0</v>
      </c>
      <c r="H277" s="58">
        <f t="shared" si="26"/>
        <v>6.4556204619006741E-2</v>
      </c>
      <c r="I277" cm="1">
        <f t="array" ref="I277">SQRT(MMULT(B277:F277,MMULT($M$273:$Q$277,TRANSPOSE(B277:F277))))</f>
        <v>0.69541080063804062</v>
      </c>
      <c r="J277">
        <f t="shared" si="27"/>
        <v>10.772176040121428</v>
      </c>
      <c r="L277" s="39" t="s">
        <v>4</v>
      </c>
      <c r="M277" s="47">
        <f>CORREL($C$4:$C$252,$H$4:$H$252)</f>
        <v>6.4321547462737313E-2</v>
      </c>
      <c r="N277" s="47">
        <f>CORREL($E$4:$E$252,$I$4:$I$252)</f>
        <v>0.4396958106563586</v>
      </c>
      <c r="O277" s="47">
        <f>CORREL($G$4:$G$252,$J$4:$J$252)</f>
        <v>4.3710875488682591E-3</v>
      </c>
      <c r="P277" s="57">
        <f>CORREL($I$4:$I$252,$K$4:$K$252)</f>
        <v>0.78110700463406058</v>
      </c>
      <c r="Q277">
        <v>1</v>
      </c>
    </row>
    <row r="278" spans="1:17" x14ac:dyDescent="0.35">
      <c r="A278" s="2" t="s">
        <v>23</v>
      </c>
      <c r="B278" s="71">
        <v>0.31471060984258031</v>
      </c>
      <c r="C278" s="73">
        <v>0.25486033521808771</v>
      </c>
      <c r="D278" s="75">
        <v>0.37190629901091993</v>
      </c>
      <c r="E278">
        <v>5.8522755928412308E-2</v>
      </c>
      <c r="F278" s="76">
        <v>0</v>
      </c>
      <c r="G278" s="79">
        <v>0</v>
      </c>
      <c r="H278" s="58">
        <f t="shared" si="26"/>
        <v>2.3143744342719083E-2</v>
      </c>
      <c r="I278" cm="1">
        <f t="array" ref="I278">SQRT(MMULT(B278:F278,MMULT($M$273:$Q$277,TRANSPOSE(B278:F278))))</f>
        <v>0.65962004905070382</v>
      </c>
      <c r="J278">
        <f t="shared" si="27"/>
        <v>28.501008276053536</v>
      </c>
    </row>
    <row r="279" spans="1:17" x14ac:dyDescent="0.35">
      <c r="A279" s="2" t="s">
        <v>24</v>
      </c>
      <c r="B279" s="71">
        <v>0.64681191718641329</v>
      </c>
      <c r="C279" s="73">
        <v>5.772828947875E-2</v>
      </c>
      <c r="D279" s="75">
        <v>5.3375303287058473E-2</v>
      </c>
      <c r="E279">
        <v>0.24208449004777821</v>
      </c>
      <c r="F279" s="76">
        <v>0</v>
      </c>
      <c r="G279" s="79">
        <v>0</v>
      </c>
      <c r="H279" s="58">
        <f t="shared" si="26"/>
        <v>7.917897780081963E-2</v>
      </c>
      <c r="I279" cm="1">
        <f t="array" ref="I279">SQRT(MMULT(B279:F279,MMULT($M$273:$Q$277,TRANSPOSE(B279:F279))))</f>
        <v>0.76658724483671647</v>
      </c>
      <c r="J279">
        <f t="shared" si="27"/>
        <v>9.6817017108394783</v>
      </c>
    </row>
    <row r="280" spans="1:17" x14ac:dyDescent="0.35">
      <c r="A280" s="2" t="s">
        <v>25</v>
      </c>
      <c r="B280" s="71">
        <v>0.36000782589836222</v>
      </c>
      <c r="C280" s="73">
        <v>0.260468558773577</v>
      </c>
      <c r="D280" s="75">
        <v>0.34265270551341609</v>
      </c>
      <c r="E280">
        <v>3.6870909814644567E-2</v>
      </c>
      <c r="F280" s="76">
        <v>0</v>
      </c>
      <c r="G280" s="79">
        <v>0</v>
      </c>
      <c r="H280" s="58">
        <f t="shared" si="26"/>
        <v>1.6623369428504054E-2</v>
      </c>
      <c r="I280" cm="1">
        <f t="array" ref="I280">SQRT(MMULT(B280:F280,MMULT($M$273:$Q$277,TRANSPOSE(B280:F280))))</f>
        <v>0.66280573990970482</v>
      </c>
      <c r="J280">
        <f t="shared" si="27"/>
        <v>39.871925048672338</v>
      </c>
    </row>
    <row r="281" spans="1:17" x14ac:dyDescent="0.35">
      <c r="A281" s="2" t="s">
        <v>26</v>
      </c>
      <c r="B281" s="71">
        <v>0.34227332710581387</v>
      </c>
      <c r="C281" s="73">
        <v>0.2995600503263619</v>
      </c>
      <c r="D281" s="75">
        <v>0.31745965621578809</v>
      </c>
      <c r="E281">
        <v>4.0706966352036127E-2</v>
      </c>
      <c r="F281" s="76">
        <v>0</v>
      </c>
      <c r="G281" s="79">
        <v>0</v>
      </c>
      <c r="H281" s="58">
        <f t="shared" si="26"/>
        <v>2.5233072083722913E-2</v>
      </c>
      <c r="I281" cm="1">
        <f t="array" ref="I281">SQRT(MMULT(B281:F281,MMULT($M$273:$Q$277,TRANSPOSE(B281:F281))))</f>
        <v>0.66554882588455655</v>
      </c>
      <c r="J281">
        <f t="shared" si="27"/>
        <v>26.376052177724404</v>
      </c>
    </row>
    <row r="282" spans="1:17" x14ac:dyDescent="0.35">
      <c r="A282" s="2" t="s">
        <v>27</v>
      </c>
      <c r="B282" s="71">
        <v>0.36566934029565112</v>
      </c>
      <c r="C282" s="73">
        <v>0.30830184590239229</v>
      </c>
      <c r="D282" s="75">
        <v>0.1526068312466051</v>
      </c>
      <c r="E282">
        <v>0.17342198255535149</v>
      </c>
      <c r="F282" s="76">
        <v>0</v>
      </c>
      <c r="G282" s="79">
        <v>0</v>
      </c>
      <c r="H282" s="58">
        <f t="shared" si="26"/>
        <v>8.6309256492041506E-2</v>
      </c>
      <c r="I282" cm="1">
        <f t="array" ref="I282">SQRT(MMULT(B282:F282,MMULT($M$273:$Q$277,TRANSPOSE(B282:F282))))</f>
        <v>0.66279538478754652</v>
      </c>
      <c r="J282">
        <f t="shared" si="27"/>
        <v>7.6793082425482631</v>
      </c>
    </row>
    <row r="283" spans="1:17" x14ac:dyDescent="0.35">
      <c r="A283" s="2" t="s">
        <v>28</v>
      </c>
      <c r="B283" s="71">
        <v>0.1225806845583836</v>
      </c>
      <c r="C283" s="73">
        <v>0.46335709922294221</v>
      </c>
      <c r="D283" s="75">
        <v>0.2464853103959323</v>
      </c>
      <c r="E283">
        <v>0.1675769058227419</v>
      </c>
      <c r="F283" s="76">
        <v>0</v>
      </c>
      <c r="G283" s="79">
        <v>0</v>
      </c>
      <c r="H283" s="58">
        <f t="shared" si="26"/>
        <v>0.10393521343933676</v>
      </c>
      <c r="I283" cm="1">
        <f t="array" ref="I283">SQRT(MMULT(B283:F283,MMULT($M$273:$Q$277,TRANSPOSE(B283:F283))))</f>
        <v>0.69248306990384323</v>
      </c>
      <c r="J283">
        <f t="shared" si="27"/>
        <v>6.6626415339784781</v>
      </c>
    </row>
    <row r="284" spans="1:17" x14ac:dyDescent="0.35">
      <c r="A284" s="2" t="s">
        <v>29</v>
      </c>
      <c r="B284" s="71">
        <v>0.27370772242470748</v>
      </c>
      <c r="C284" s="73">
        <v>0.3674202798829862</v>
      </c>
      <c r="D284" s="75">
        <v>0.33832927748125918</v>
      </c>
      <c r="E284">
        <v>2.05427202110471E-2</v>
      </c>
      <c r="F284" s="76">
        <v>0</v>
      </c>
      <c r="G284" s="79">
        <v>0</v>
      </c>
      <c r="H284" s="58">
        <f t="shared" si="26"/>
        <v>2.6792172104501771E-2</v>
      </c>
      <c r="I284" cm="1">
        <f t="array" ref="I284">SQRT(MMULT(B284:F284,MMULT($M$273:$Q$277,TRANSPOSE(B284:F284))))</f>
        <v>0.68150106613133932</v>
      </c>
      <c r="J284">
        <f t="shared" si="27"/>
        <v>25.436573916932613</v>
      </c>
    </row>
    <row r="285" spans="1:17" x14ac:dyDescent="0.35">
      <c r="A285" s="2" t="s">
        <v>30</v>
      </c>
      <c r="B285" s="71">
        <v>0.12749238363172291</v>
      </c>
      <c r="C285" s="73">
        <v>0.25687988846374621</v>
      </c>
      <c r="D285" s="75">
        <v>0.38323944409189042</v>
      </c>
      <c r="E285">
        <v>0.23238828381264071</v>
      </c>
      <c r="F285" s="76">
        <v>0</v>
      </c>
      <c r="G285" s="79">
        <v>0</v>
      </c>
      <c r="H285" s="58">
        <f t="shared" si="26"/>
        <v>9.2150919088654568E-2</v>
      </c>
      <c r="I285" cm="1">
        <f t="array" ref="I285">SQRT(MMULT(B285:F285,MMULT($M$273:$Q$277,TRANSPOSE(B285:F285))))</f>
        <v>0.67962106632691355</v>
      </c>
      <c r="J285">
        <f t="shared" si="27"/>
        <v>7.3750872269985539</v>
      </c>
    </row>
    <row r="286" spans="1:17" x14ac:dyDescent="0.35">
      <c r="A286" s="2" t="s">
        <v>31</v>
      </c>
      <c r="B286" s="71">
        <v>0.23537904558483061</v>
      </c>
      <c r="C286" s="73">
        <v>0.32393014336204679</v>
      </c>
      <c r="D286" s="75">
        <v>0.26084520800707878</v>
      </c>
      <c r="E286">
        <v>0.17984560304604391</v>
      </c>
      <c r="F286" s="76">
        <v>0</v>
      </c>
      <c r="G286" s="79">
        <v>0</v>
      </c>
      <c r="H286" s="58">
        <f t="shared" si="26"/>
        <v>8.6724497862589331E-2</v>
      </c>
      <c r="I286" cm="1">
        <f t="array" ref="I286">SQRT(MMULT(B286:F286,MMULT($M$273:$Q$277,TRANSPOSE(B286:F286))))</f>
        <v>0.65269615368230671</v>
      </c>
      <c r="J286">
        <f t="shared" si="27"/>
        <v>7.5260874351382396</v>
      </c>
    </row>
    <row r="287" spans="1:17" x14ac:dyDescent="0.35">
      <c r="A287" s="2" t="s">
        <v>32</v>
      </c>
      <c r="B287" s="71">
        <v>0.21663615279127979</v>
      </c>
      <c r="C287" s="73">
        <v>0.48223940221898892</v>
      </c>
      <c r="D287" s="75">
        <v>0.2499259832081758</v>
      </c>
      <c r="E287">
        <v>5.1198461781555619E-2</v>
      </c>
      <c r="F287" s="76">
        <v>0</v>
      </c>
      <c r="G287" s="79">
        <v>0</v>
      </c>
      <c r="H287" s="58">
        <f t="shared" si="26"/>
        <v>6.0399675550350869E-2</v>
      </c>
      <c r="I287" cm="1">
        <f t="array" ref="I287">SQRT(MMULT(B287:F287,MMULT($M$273:$Q$277,TRANSPOSE(B287:F287))))</f>
        <v>0.70526151099266177</v>
      </c>
      <c r="J287">
        <f t="shared" si="27"/>
        <v>11.676577805533672</v>
      </c>
    </row>
    <row r="288" spans="1:17" x14ac:dyDescent="0.35">
      <c r="A288" s="2" t="s">
        <v>33</v>
      </c>
      <c r="B288" s="71">
        <v>0.1114563009105962</v>
      </c>
      <c r="C288" s="73">
        <v>0.40182996028730461</v>
      </c>
      <c r="D288" s="75">
        <v>0.36309298613422331</v>
      </c>
      <c r="E288">
        <v>0.12362075266787589</v>
      </c>
      <c r="F288" s="76">
        <v>0</v>
      </c>
      <c r="G288" s="79">
        <v>0</v>
      </c>
      <c r="H288" s="58">
        <f t="shared" si="26"/>
        <v>7.2064079069372691E-2</v>
      </c>
      <c r="I288" cm="1">
        <f t="array" ref="I288">SQRT(MMULT(B288:F288,MMULT($M$273:$Q$277,TRANSPOSE(B288:F288))))</f>
        <v>0.69720941679233517</v>
      </c>
      <c r="J288">
        <f t="shared" si="27"/>
        <v>9.6748536274384982</v>
      </c>
    </row>
    <row r="289" spans="1:15" x14ac:dyDescent="0.35">
      <c r="A289" s="2" t="s">
        <v>34</v>
      </c>
      <c r="B289" s="71">
        <v>2.0544544710440451E-2</v>
      </c>
      <c r="C289" s="73">
        <v>0.2107024817163379</v>
      </c>
      <c r="D289" s="75">
        <v>0.1983804468584523</v>
      </c>
      <c r="E289">
        <v>0.57037252671476923</v>
      </c>
      <c r="F289" s="76">
        <v>0</v>
      </c>
      <c r="G289" s="79">
        <v>0</v>
      </c>
      <c r="H289" s="58">
        <f t="shared" si="26"/>
        <v>0.22727000251499027</v>
      </c>
      <c r="I289" cm="1">
        <f t="array" ref="I289">SQRT(MMULT(B289:F289,MMULT($M$273:$Q$277,TRANSPOSE(B289:F289))))</f>
        <v>0.75319545689355705</v>
      </c>
      <c r="J289">
        <f t="shared" si="27"/>
        <v>3.3140997428548795</v>
      </c>
    </row>
    <row r="290" spans="1:15" x14ac:dyDescent="0.35">
      <c r="A290" s="2" t="s">
        <v>35</v>
      </c>
      <c r="B290" s="71">
        <v>0.32428354179694779</v>
      </c>
      <c r="C290" s="73">
        <v>0.2089486471889038</v>
      </c>
      <c r="D290" s="75">
        <v>0.3380665320245112</v>
      </c>
      <c r="E290">
        <v>0.12870127898963729</v>
      </c>
      <c r="F290" s="76">
        <v>0</v>
      </c>
      <c r="G290" s="79">
        <v>0</v>
      </c>
      <c r="H290" s="58">
        <f t="shared" si="26"/>
        <v>4.5410558833978328E-2</v>
      </c>
      <c r="I290" cm="1">
        <f t="array" ref="I290">SQRT(MMULT(B290:F290,MMULT($M$273:$Q$277,TRANSPOSE(B290:F290))))</f>
        <v>0.64788364132012921</v>
      </c>
      <c r="J290">
        <f t="shared" si="27"/>
        <v>14.267246604227033</v>
      </c>
    </row>
    <row r="291" spans="1:15" x14ac:dyDescent="0.35">
      <c r="A291" s="2" t="s">
        <v>36</v>
      </c>
      <c r="B291" s="71">
        <v>0.32837283752540802</v>
      </c>
      <c r="C291" s="73">
        <v>0.13180213237266819</v>
      </c>
      <c r="D291" s="75">
        <v>0.27525888741623039</v>
      </c>
      <c r="E291">
        <v>0.2645661426856934</v>
      </c>
      <c r="F291" s="76">
        <v>0</v>
      </c>
      <c r="G291" s="79">
        <v>0</v>
      </c>
      <c r="H291" s="58">
        <f t="shared" si="26"/>
        <v>9.0214201378337563E-2</v>
      </c>
      <c r="I291" cm="1">
        <f t="array" ref="I291">SQRT(MMULT(B291:F291,MMULT($M$273:$Q$277,TRANSPOSE(B291:F291))))</f>
        <v>0.65118668234244703</v>
      </c>
      <c r="J291">
        <f t="shared" si="27"/>
        <v>7.2182280881866951</v>
      </c>
    </row>
    <row r="292" spans="1:15" x14ac:dyDescent="0.35">
      <c r="A292" s="2" t="s">
        <v>37</v>
      </c>
      <c r="B292" s="71">
        <v>0.23199331968904971</v>
      </c>
      <c r="C292" s="73">
        <v>0.26350821639707128</v>
      </c>
      <c r="D292" s="75">
        <v>0.26996813855481949</v>
      </c>
      <c r="E292">
        <v>0.23453032535905941</v>
      </c>
      <c r="F292" s="76">
        <v>0</v>
      </c>
      <c r="G292" s="79">
        <v>0</v>
      </c>
      <c r="H292" s="58">
        <f t="shared" si="26"/>
        <v>9.8785200715765104E-2</v>
      </c>
      <c r="I292" cm="1">
        <f t="array" ref="I292">SQRT(MMULT(B292:F292,MMULT($M$273:$Q$277,TRANSPOSE(B292:F292))))</f>
        <v>0.6479514319376779</v>
      </c>
      <c r="J292">
        <f t="shared" si="27"/>
        <v>6.5591953778788197</v>
      </c>
    </row>
    <row r="293" spans="1:15" x14ac:dyDescent="0.35">
      <c r="A293" s="2" t="s">
        <v>38</v>
      </c>
      <c r="B293" s="71">
        <v>0.45437645124101961</v>
      </c>
      <c r="C293" s="73">
        <v>0.15481717356270711</v>
      </c>
      <c r="D293" s="75">
        <v>0.35472781424292149</v>
      </c>
      <c r="E293">
        <v>3.6078560953351782E-2</v>
      </c>
      <c r="F293" s="76">
        <v>0</v>
      </c>
      <c r="G293" s="79">
        <v>0</v>
      </c>
      <c r="H293" s="58">
        <f t="shared" si="26"/>
        <v>-4.8220133272131906E-4</v>
      </c>
      <c r="I293" cm="1">
        <f t="array" ref="I293">SQRT(MMULT(B293:F293,MMULT($M$273:$Q$277,TRANSPOSE(B293:F293))))</f>
        <v>0.66749831978942531</v>
      </c>
      <c r="J293">
        <f t="shared" si="27"/>
        <v>-1384.2730712135876</v>
      </c>
    </row>
    <row r="294" spans="1:15" x14ac:dyDescent="0.35">
      <c r="A294" s="2" t="s">
        <v>39</v>
      </c>
      <c r="B294" s="71">
        <v>8.0234217983501915E-2</v>
      </c>
      <c r="C294" s="73">
        <v>0.23764975560294771</v>
      </c>
      <c r="D294" s="75">
        <v>0.28550992329296371</v>
      </c>
      <c r="E294">
        <v>0.39660610312058681</v>
      </c>
      <c r="F294" s="76">
        <v>0</v>
      </c>
      <c r="G294" s="79">
        <v>0</v>
      </c>
      <c r="H294" s="58">
        <f t="shared" si="26"/>
        <v>0.15862843435137405</v>
      </c>
      <c r="I294" cm="1">
        <f t="array" ref="I294">SQRT(MMULT(B294:F294,MMULT($M$273:$Q$277,TRANSPOSE(B294:F294))))</f>
        <v>0.69691347660013936</v>
      </c>
      <c r="J294">
        <f t="shared" si="27"/>
        <v>4.3933704537259883</v>
      </c>
    </row>
    <row r="295" spans="1:15" x14ac:dyDescent="0.35">
      <c r="A295" s="2" t="s">
        <v>40</v>
      </c>
      <c r="B295" s="71">
        <v>0.31483264694519869</v>
      </c>
      <c r="C295" s="73">
        <v>0.36527538900923401</v>
      </c>
      <c r="D295" s="75">
        <v>0.18585848749609529</v>
      </c>
      <c r="E295">
        <v>0.13403347654947201</v>
      </c>
      <c r="F295" s="76">
        <v>0</v>
      </c>
      <c r="G295" s="79">
        <v>0</v>
      </c>
      <c r="H295" s="58">
        <f t="shared" si="26"/>
        <v>7.8021774890908557E-2</v>
      </c>
      <c r="I295" cm="1">
        <f t="array" ref="I295">SQRT(MMULT(B295:F295,MMULT($M$273:$Q$277,TRANSPOSE(B295:F295))))</f>
        <v>0.6662839638110335</v>
      </c>
      <c r="J295">
        <f t="shared" si="27"/>
        <v>8.5397181074468467</v>
      </c>
    </row>
    <row r="296" spans="1:15" x14ac:dyDescent="0.35">
      <c r="A296" s="2" t="s">
        <v>41</v>
      </c>
      <c r="B296" s="71">
        <v>0.22169781129512439</v>
      </c>
      <c r="C296" s="73">
        <v>0.2233048704314016</v>
      </c>
      <c r="D296" s="75">
        <v>0.54784700825234278</v>
      </c>
      <c r="E296">
        <v>7.1503100211311654E-3</v>
      </c>
      <c r="F296" s="76">
        <v>0</v>
      </c>
      <c r="G296" s="79">
        <v>0</v>
      </c>
      <c r="H296" s="58">
        <f t="shared" si="26"/>
        <v>-9.5523875624843498E-3</v>
      </c>
      <c r="I296" cm="1">
        <f t="array" ref="I296">SQRT(MMULT(B296:F296,MMULT($M$273:$Q$277,TRANSPOSE(B296:F296))))</f>
        <v>0.70608119733889196</v>
      </c>
      <c r="J296">
        <f t="shared" si="27"/>
        <v>-73.916724245143271</v>
      </c>
    </row>
    <row r="297" spans="1:15" x14ac:dyDescent="0.35">
      <c r="A297" s="2" t="s">
        <v>42</v>
      </c>
      <c r="B297" s="71">
        <v>0.2026455466613476</v>
      </c>
      <c r="C297" s="73">
        <v>0.27244364912836888</v>
      </c>
      <c r="D297" s="75">
        <v>7.4723361894675586E-2</v>
      </c>
      <c r="E297">
        <v>0.45018744231560792</v>
      </c>
      <c r="F297" s="76">
        <v>0</v>
      </c>
      <c r="G297" s="79">
        <v>0</v>
      </c>
      <c r="H297" s="58">
        <f t="shared" si="26"/>
        <v>0.19416696281027612</v>
      </c>
      <c r="I297" cm="1">
        <f t="array" ref="I297">SQRT(MMULT(B297:F297,MMULT($M$273:$Q$277,TRANSPOSE(B297:F297))))</f>
        <v>0.68122671110134847</v>
      </c>
      <c r="J297">
        <f t="shared" si="27"/>
        <v>3.5084583970496919</v>
      </c>
    </row>
    <row r="298" spans="1:15" x14ac:dyDescent="0.35">
      <c r="A298" s="2" t="s">
        <v>43</v>
      </c>
      <c r="B298" s="71">
        <v>0.19107670844439389</v>
      </c>
      <c r="C298" s="73">
        <v>0.37371650201103379</v>
      </c>
      <c r="D298" s="75">
        <v>0.41974250820479941</v>
      </c>
      <c r="E298">
        <v>1.546428133977292E-2</v>
      </c>
      <c r="F298" s="76">
        <v>0</v>
      </c>
      <c r="G298" s="79">
        <v>0</v>
      </c>
      <c r="H298" s="58">
        <f t="shared" si="26"/>
        <v>2.2320480860624228E-2</v>
      </c>
      <c r="I298" cm="1">
        <f t="array" ref="I298">SQRT(MMULT(B298:F298,MMULT($M$273:$Q$277,TRANSPOSE(B298:F298))))</f>
        <v>0.70050846858779747</v>
      </c>
      <c r="J298">
        <f t="shared" si="27"/>
        <v>31.384111881907128</v>
      </c>
      <c r="L298" t="s">
        <v>341</v>
      </c>
    </row>
    <row r="299" spans="1:15" ht="15" thickBot="1" x14ac:dyDescent="0.4">
      <c r="A299" s="2" t="s">
        <v>44</v>
      </c>
      <c r="B299" s="71">
        <v>0.5174075554412384</v>
      </c>
      <c r="C299" s="73">
        <v>0.24570651544447461</v>
      </c>
      <c r="D299" s="75">
        <v>0.22555565206384409</v>
      </c>
      <c r="E299">
        <v>1.133027705044286E-2</v>
      </c>
      <c r="F299" s="76">
        <v>0</v>
      </c>
      <c r="G299" s="79">
        <v>0</v>
      </c>
      <c r="H299" s="58">
        <f t="shared" si="26"/>
        <v>9.1082585693105372E-3</v>
      </c>
      <c r="I299" cm="1">
        <f t="array" ref="I299">SQRT(MMULT(B299:F299,MMULT($M$273:$Q$277,TRANSPOSE(B299:F299))))</f>
        <v>0.70067655785599159</v>
      </c>
      <c r="J299">
        <f t="shared" si="27"/>
        <v>76.927609435338013</v>
      </c>
      <c r="L299" t="s">
        <v>337</v>
      </c>
      <c r="M299" t="s">
        <v>338</v>
      </c>
      <c r="N299" t="s">
        <v>339</v>
      </c>
      <c r="O299" t="s">
        <v>340</v>
      </c>
    </row>
    <row r="300" spans="1:15" ht="18.5" thickBot="1" x14ac:dyDescent="0.45">
      <c r="A300" s="2" t="s">
        <v>45</v>
      </c>
      <c r="B300" s="71">
        <v>0.45364042413289701</v>
      </c>
      <c r="C300" s="73">
        <v>0.14375544307474791</v>
      </c>
      <c r="D300" s="75">
        <v>6.0486461907281949E-2</v>
      </c>
      <c r="E300">
        <v>0.34211767088507322</v>
      </c>
      <c r="F300" s="76">
        <v>0</v>
      </c>
      <c r="G300" s="79">
        <v>0</v>
      </c>
      <c r="H300" s="58">
        <f t="shared" si="26"/>
        <v>0.1319366028419072</v>
      </c>
      <c r="I300" cm="1">
        <f t="array" ref="I300">SQRT(MMULT(B300:F300,MMULT($M$273:$Q$277,TRANSPOSE(B300:F300))))</f>
        <v>0.6975918881715385</v>
      </c>
      <c r="J300">
        <f t="shared" si="27"/>
        <v>5.2873264366782795</v>
      </c>
      <c r="L300" s="36" t="s">
        <v>1</v>
      </c>
      <c r="M300" s="43" t="s">
        <v>3</v>
      </c>
    </row>
    <row r="301" spans="1:15" x14ac:dyDescent="0.35">
      <c r="A301" s="2" t="s">
        <v>46</v>
      </c>
      <c r="B301" s="71">
        <v>0.18875366760084841</v>
      </c>
      <c r="C301" s="73">
        <v>0.1649896561815862</v>
      </c>
      <c r="D301" s="75">
        <v>0.3530427592921927</v>
      </c>
      <c r="E301">
        <v>0.2932139169253728</v>
      </c>
      <c r="F301" s="76">
        <v>0</v>
      </c>
      <c r="G301" s="79">
        <v>0</v>
      </c>
      <c r="H301" s="58">
        <f t="shared" si="26"/>
        <v>0.10345743488920084</v>
      </c>
      <c r="I301" cm="1">
        <f t="array" ref="I301">SQRT(MMULT(B301:F301,MMULT($M$273:$Q$277,TRANSPOSE(B301:F301))))</f>
        <v>0.67023948884610052</v>
      </c>
      <c r="J301">
        <f t="shared" si="27"/>
        <v>6.4784081449912492</v>
      </c>
      <c r="L301" s="86">
        <v>0</v>
      </c>
      <c r="M301" s="86">
        <v>1</v>
      </c>
      <c r="N301" s="1">
        <f>L301*$B$259+M301*$B$261</f>
        <v>0.37856790990129457</v>
      </c>
      <c r="O301">
        <f>SQRT(L301^2*$C$259^2+M301^2*$C$261^2+2*$C$259*$C$261*L301*M301*$P$274)</f>
        <v>0.19429123877890941</v>
      </c>
    </row>
    <row r="302" spans="1:15" x14ac:dyDescent="0.35">
      <c r="A302" s="2" t="s">
        <v>47</v>
      </c>
      <c r="B302" s="71">
        <v>0.34259849593649339</v>
      </c>
      <c r="C302" s="73">
        <v>0.29981081778174329</v>
      </c>
      <c r="D302" s="75">
        <v>0.13871569366888281</v>
      </c>
      <c r="E302">
        <v>0.2188749926128806</v>
      </c>
      <c r="F302" s="76">
        <v>0</v>
      </c>
      <c r="G302" s="79">
        <v>0</v>
      </c>
      <c r="H302" s="58">
        <f t="shared" si="26"/>
        <v>0.10366787759997337</v>
      </c>
      <c r="I302" cm="1">
        <f t="array" ref="I302">SQRT(MMULT(B302:F302,MMULT($M$273:$Q$277,TRANSPOSE(B302:F302))))</f>
        <v>0.6584067270280104</v>
      </c>
      <c r="J302">
        <f t="shared" si="27"/>
        <v>6.3511161053053096</v>
      </c>
      <c r="L302" s="115">
        <v>0.1</v>
      </c>
      <c r="M302" s="115">
        <v>0.9</v>
      </c>
      <c r="N302" s="116">
        <f t="shared" ref="N302:N311" si="28">L302*$B$259+M302*$B$261</f>
        <v>0.35390122094978621</v>
      </c>
      <c r="O302" s="90">
        <f t="shared" ref="O302:O311" si="29">SQRT(L302^2*$C$259^2+M302^2*$C$261^2+2*$C$259*$C$261*L302*M302*$P$274)</f>
        <v>0.1813738234770737</v>
      </c>
    </row>
    <row r="303" spans="1:15" x14ac:dyDescent="0.35">
      <c r="A303" s="2" t="s">
        <v>48</v>
      </c>
      <c r="B303" s="71">
        <v>0.45534614070785978</v>
      </c>
      <c r="C303" s="73">
        <v>0.3317196077329807</v>
      </c>
      <c r="D303" s="75">
        <v>1.0389971598594869E-2</v>
      </c>
      <c r="E303">
        <v>0.20254427996056451</v>
      </c>
      <c r="F303" s="76">
        <v>0</v>
      </c>
      <c r="G303" s="79">
        <v>0</v>
      </c>
      <c r="H303" s="58">
        <f t="shared" si="26"/>
        <v>0.10748168382509173</v>
      </c>
      <c r="I303" cm="1">
        <f t="array" ref="I303">SQRT(MMULT(B303:F303,MMULT($M$273:$Q$277,TRANSPOSE(B303:F303))))</f>
        <v>0.71478541524165318</v>
      </c>
      <c r="J303">
        <f t="shared" si="27"/>
        <v>6.6502997515822848</v>
      </c>
      <c r="L303" s="87">
        <v>0.2</v>
      </c>
      <c r="M303" s="87">
        <v>0.8</v>
      </c>
      <c r="N303" s="88">
        <f t="shared" si="28"/>
        <v>0.3292345319982779</v>
      </c>
      <c r="O303" s="64">
        <f t="shared" si="29"/>
        <v>0.17520028808469318</v>
      </c>
    </row>
    <row r="304" spans="1:15" x14ac:dyDescent="0.35">
      <c r="A304" s="2" t="s">
        <v>49</v>
      </c>
      <c r="B304" s="71">
        <v>0.3246197505416154</v>
      </c>
      <c r="C304" s="73">
        <v>0.2349919340977682</v>
      </c>
      <c r="D304" s="75">
        <v>0.39224165850346732</v>
      </c>
      <c r="E304">
        <v>4.8146656857149209E-2</v>
      </c>
      <c r="F304" s="76">
        <v>0</v>
      </c>
      <c r="G304" s="79">
        <v>0</v>
      </c>
      <c r="H304" s="58">
        <f t="shared" si="26"/>
        <v>1.5098885844187428E-2</v>
      </c>
      <c r="I304" cm="1">
        <f t="array" ref="I304">SQRT(MMULT(B304:F304,MMULT($M$273:$Q$277,TRANSPOSE(B304:F304))))</f>
        <v>0.66123233711206864</v>
      </c>
      <c r="J304">
        <f t="shared" si="27"/>
        <v>43.793452307384733</v>
      </c>
      <c r="L304" s="86">
        <v>0.3</v>
      </c>
      <c r="M304" s="86">
        <v>0.7</v>
      </c>
      <c r="N304" s="1">
        <f t="shared" si="28"/>
        <v>0.30456784304676948</v>
      </c>
      <c r="O304">
        <f t="shared" si="29"/>
        <v>0.176479791401292</v>
      </c>
    </row>
    <row r="305" spans="1:15" x14ac:dyDescent="0.35">
      <c r="A305" s="2" t="s">
        <v>50</v>
      </c>
      <c r="B305" s="71">
        <v>0.14049176016193321</v>
      </c>
      <c r="C305" s="73">
        <v>0.50951914090903516</v>
      </c>
      <c r="D305" s="75">
        <v>0.2196272894931342</v>
      </c>
      <c r="E305">
        <v>0.13036180943589759</v>
      </c>
      <c r="F305" s="76">
        <v>0</v>
      </c>
      <c r="G305" s="79">
        <v>0</v>
      </c>
      <c r="H305" s="58">
        <f t="shared" si="26"/>
        <v>9.7372433663429805E-2</v>
      </c>
      <c r="I305" cm="1">
        <f t="array" ref="I305">SQRT(MMULT(B305:F305,MMULT($M$273:$Q$277,TRANSPOSE(B305:F305))))</f>
        <v>0.70633025610540034</v>
      </c>
      <c r="J305">
        <f t="shared" si="27"/>
        <v>7.2539036925671194</v>
      </c>
      <c r="L305" s="86">
        <v>0.4</v>
      </c>
      <c r="M305" s="86">
        <v>0.6</v>
      </c>
      <c r="N305" s="1">
        <f t="shared" si="28"/>
        <v>0.27990115409526117</v>
      </c>
      <c r="O305">
        <f t="shared" si="29"/>
        <v>0.18505780536617439</v>
      </c>
    </row>
    <row r="306" spans="1:15" x14ac:dyDescent="0.35">
      <c r="A306" s="2" t="s">
        <v>51</v>
      </c>
      <c r="B306" s="71">
        <v>0.1895241320895443</v>
      </c>
      <c r="C306" s="73">
        <v>0.16289277529016211</v>
      </c>
      <c r="D306" s="75">
        <v>0.60809654555147441</v>
      </c>
      <c r="E306">
        <v>3.94865470688191E-2</v>
      </c>
      <c r="F306" s="76">
        <v>0</v>
      </c>
      <c r="G306" s="79">
        <v>0</v>
      </c>
      <c r="H306" s="58">
        <f t="shared" si="26"/>
        <v>-8.5302220186803702E-3</v>
      </c>
      <c r="I306" cm="1">
        <f t="array" ref="I306">SQRT(MMULT(B306:F306,MMULT($M$273:$Q$277,TRANSPOSE(B306:F306))))</f>
        <v>0.7280288657034879</v>
      </c>
      <c r="J306">
        <f t="shared" si="27"/>
        <v>-85.347000829424402</v>
      </c>
      <c r="L306" s="86">
        <v>0.5</v>
      </c>
      <c r="M306" s="86">
        <v>0.5</v>
      </c>
      <c r="N306" s="1">
        <f t="shared" si="28"/>
        <v>0.25523446514375281</v>
      </c>
      <c r="O306">
        <f t="shared" si="29"/>
        <v>0.19999741149990793</v>
      </c>
    </row>
    <row r="307" spans="1:15" x14ac:dyDescent="0.35">
      <c r="A307" s="2" t="s">
        <v>52</v>
      </c>
      <c r="B307" s="71">
        <v>0.29299338771273059</v>
      </c>
      <c r="C307" s="73">
        <v>1.7023974491648278E-2</v>
      </c>
      <c r="D307" s="75">
        <v>0.35153002422907542</v>
      </c>
      <c r="E307">
        <v>0.33845261356654571</v>
      </c>
      <c r="F307" s="76">
        <v>0</v>
      </c>
      <c r="G307" s="79">
        <v>0</v>
      </c>
      <c r="H307" s="58">
        <f t="shared" si="26"/>
        <v>9.871491334888946E-2</v>
      </c>
      <c r="I307" cm="1">
        <f t="array" ref="I307">SQRT(MMULT(B307:F307,MMULT($M$273:$Q$277,TRANSPOSE(B307:F307))))</f>
        <v>0.6897519988503632</v>
      </c>
      <c r="J307">
        <f t="shared" si="27"/>
        <v>6.9873130153350118</v>
      </c>
      <c r="L307" s="86">
        <v>0.6</v>
      </c>
      <c r="M307" s="86">
        <v>0.4</v>
      </c>
      <c r="N307" s="1">
        <f t="shared" si="28"/>
        <v>0.23056777619224444</v>
      </c>
      <c r="O307">
        <f t="shared" si="29"/>
        <v>0.22000644675145181</v>
      </c>
    </row>
    <row r="308" spans="1:15" x14ac:dyDescent="0.35">
      <c r="A308" s="2" t="s">
        <v>53</v>
      </c>
      <c r="B308" s="71">
        <v>0.27656712965302849</v>
      </c>
      <c r="C308" s="73">
        <v>0.18654857445885581</v>
      </c>
      <c r="D308" s="75">
        <v>8.8449641012868077E-2</v>
      </c>
      <c r="E308">
        <v>0.44843465487524758</v>
      </c>
      <c r="F308" s="76">
        <v>0</v>
      </c>
      <c r="G308" s="79">
        <v>0</v>
      </c>
      <c r="H308" s="58">
        <f t="shared" si="26"/>
        <v>0.17965470338443518</v>
      </c>
      <c r="I308" cm="1">
        <f t="array" ref="I308">SQRT(MMULT(B308:F308,MMULT($M$273:$Q$277,TRANSPOSE(B308:F308))))</f>
        <v>0.68319450749125599</v>
      </c>
      <c r="J308">
        <f t="shared" si="27"/>
        <v>3.8028200465718851</v>
      </c>
      <c r="L308" s="86">
        <v>0.7</v>
      </c>
      <c r="M308" s="86">
        <v>0.3</v>
      </c>
      <c r="N308" s="1">
        <f t="shared" si="28"/>
        <v>0.20590108724073608</v>
      </c>
      <c r="O308">
        <f t="shared" si="29"/>
        <v>0.24384012660666127</v>
      </c>
    </row>
    <row r="309" spans="1:15" x14ac:dyDescent="0.35">
      <c r="A309" s="2" t="s">
        <v>54</v>
      </c>
      <c r="B309" s="71">
        <v>0.25284641513008932</v>
      </c>
      <c r="C309" s="73">
        <v>0.28976623659871648</v>
      </c>
      <c r="D309" s="75">
        <v>0.31953366721236343</v>
      </c>
      <c r="E309">
        <v>0.13785368105883081</v>
      </c>
      <c r="F309" s="76">
        <v>0</v>
      </c>
      <c r="G309" s="79">
        <v>0</v>
      </c>
      <c r="H309" s="58">
        <f t="shared" si="26"/>
        <v>6.2286221917422349E-2</v>
      </c>
      <c r="I309" cm="1">
        <f t="array" ref="I309">SQRT(MMULT(B309:F309,MMULT($M$273:$Q$277,TRANSPOSE(B309:F309))))</f>
        <v>0.65306611568523132</v>
      </c>
      <c r="J309">
        <f t="shared" si="27"/>
        <v>10.484920991853567</v>
      </c>
      <c r="L309" s="86">
        <v>0.8</v>
      </c>
      <c r="M309" s="86">
        <v>0.2</v>
      </c>
      <c r="N309" s="1">
        <f t="shared" si="28"/>
        <v>0.18123439828922772</v>
      </c>
      <c r="O309">
        <f t="shared" si="29"/>
        <v>0.27048932844148044</v>
      </c>
    </row>
    <row r="310" spans="1:15" x14ac:dyDescent="0.35">
      <c r="A310" s="2" t="s">
        <v>55</v>
      </c>
      <c r="B310" s="71">
        <v>0.1626922517227716</v>
      </c>
      <c r="C310" s="73">
        <v>8.1367229570302985E-2</v>
      </c>
      <c r="D310" s="75">
        <v>0.37658804271459467</v>
      </c>
      <c r="E310">
        <v>0.37935247599233068</v>
      </c>
      <c r="F310" s="76">
        <v>0</v>
      </c>
      <c r="G310" s="79">
        <v>0</v>
      </c>
      <c r="H310" s="58">
        <f t="shared" si="26"/>
        <v>0.12385024915624254</v>
      </c>
      <c r="I310" cm="1">
        <f t="array" ref="I310">SQRT(MMULT(B310:F310,MMULT($M$273:$Q$277,TRANSPOSE(B310:F310))))</f>
        <v>0.70856077389241978</v>
      </c>
      <c r="J310">
        <f t="shared" si="27"/>
        <v>5.7211089902495003</v>
      </c>
      <c r="L310" s="86">
        <v>0.9</v>
      </c>
      <c r="M310" s="86">
        <v>0.1</v>
      </c>
      <c r="N310" s="1">
        <f t="shared" si="28"/>
        <v>0.15656770933771938</v>
      </c>
      <c r="O310">
        <f t="shared" si="29"/>
        <v>0.29920268211316359</v>
      </c>
    </row>
    <row r="311" spans="1:15" x14ac:dyDescent="0.35">
      <c r="A311" s="2" t="s">
        <v>56</v>
      </c>
      <c r="B311" s="71">
        <v>0.34933080616131051</v>
      </c>
      <c r="C311" s="73">
        <v>0.18704060313655621</v>
      </c>
      <c r="D311" s="75">
        <v>0.20882515771519769</v>
      </c>
      <c r="E311">
        <v>0.25480343298693547</v>
      </c>
      <c r="F311" s="76">
        <v>0</v>
      </c>
      <c r="G311" s="79">
        <v>0</v>
      </c>
      <c r="H311" s="58">
        <f t="shared" si="26"/>
        <v>9.763544643336361E-2</v>
      </c>
      <c r="I311" cm="1">
        <f t="array" ref="I311">SQRT(MMULT(B311:F311,MMULT($M$273:$Q$277,TRANSPOSE(B311:F311))))</f>
        <v>0.64884170891334347</v>
      </c>
      <c r="J311">
        <f t="shared" si="27"/>
        <v>6.6455547919902145</v>
      </c>
      <c r="L311" s="86">
        <v>1</v>
      </c>
      <c r="M311" s="86">
        <v>0</v>
      </c>
      <c r="N311" s="1">
        <f t="shared" si="28"/>
        <v>0.13190102038621102</v>
      </c>
      <c r="O311">
        <f t="shared" si="29"/>
        <v>0.32944090804348486</v>
      </c>
    </row>
    <row r="312" spans="1:15" x14ac:dyDescent="0.35">
      <c r="A312" s="2" t="s">
        <v>57</v>
      </c>
      <c r="B312" s="71">
        <v>0.384098267128344</v>
      </c>
      <c r="C312" s="73">
        <v>0.30120822697593819</v>
      </c>
      <c r="D312" s="75">
        <v>0.13585798981640149</v>
      </c>
      <c r="E312">
        <v>0.17883551607931639</v>
      </c>
      <c r="F312" s="76">
        <v>0</v>
      </c>
      <c r="G312" s="79">
        <v>0</v>
      </c>
      <c r="H312" s="58">
        <f t="shared" si="26"/>
        <v>8.8073680578723335E-2</v>
      </c>
      <c r="I312" cm="1">
        <f t="array" ref="I312">SQRT(MMULT(B312:F312,MMULT($M$273:$Q$277,TRANSPOSE(B312:F312))))</f>
        <v>0.66695088809435543</v>
      </c>
      <c r="J312">
        <f t="shared" si="27"/>
        <v>7.5726469441482172</v>
      </c>
      <c r="L312" s="86"/>
    </row>
    <row r="313" spans="1:15" x14ac:dyDescent="0.35">
      <c r="A313" s="2" t="s">
        <v>58</v>
      </c>
      <c r="B313" s="71">
        <v>0.35926521422258639</v>
      </c>
      <c r="C313" s="73">
        <v>0.29953134759946348</v>
      </c>
      <c r="D313" s="75">
        <v>0.16951583222882591</v>
      </c>
      <c r="E313">
        <v>0.1716876059491243</v>
      </c>
      <c r="F313" s="76">
        <v>0</v>
      </c>
      <c r="G313" s="79">
        <v>0</v>
      </c>
      <c r="H313" s="58">
        <f t="shared" si="26"/>
        <v>8.3556894120246972E-2</v>
      </c>
      <c r="I313" cm="1">
        <f t="array" ref="I313">SQRT(MMULT(B313:F313,MMULT($M$273:$Q$277,TRANSPOSE(B313:F313))))</f>
        <v>0.65878439469314187</v>
      </c>
      <c r="J313">
        <f t="shared" si="27"/>
        <v>7.8842613961342716</v>
      </c>
      <c r="L313" s="86" t="s">
        <v>342</v>
      </c>
    </row>
    <row r="314" spans="1:15" x14ac:dyDescent="0.35">
      <c r="A314" s="2" t="s">
        <v>59</v>
      </c>
      <c r="B314" s="71">
        <v>0.39580770819758682</v>
      </c>
      <c r="C314" s="73">
        <v>0.14103276293483691</v>
      </c>
      <c r="D314" s="75">
        <v>0.40858821336773371</v>
      </c>
      <c r="E314">
        <v>5.4571315499842572E-2</v>
      </c>
      <c r="F314" s="76">
        <v>0</v>
      </c>
      <c r="G314" s="79">
        <v>0</v>
      </c>
      <c r="H314" s="58">
        <f t="shared" si="26"/>
        <v>2.4870637757234901E-3</v>
      </c>
      <c r="I314" cm="1">
        <f t="array" ref="I314">SQRT(MMULT(B314:F314,MMULT($M$273:$Q$277,TRANSPOSE(B314:F314))))</f>
        <v>0.66175843488349284</v>
      </c>
      <c r="J314">
        <f t="shared" si="27"/>
        <v>266.08020322719165</v>
      </c>
      <c r="L314" s="86">
        <v>0.8</v>
      </c>
      <c r="M314" s="2" t="s">
        <v>3</v>
      </c>
      <c r="N314" s="86">
        <v>0.9</v>
      </c>
      <c r="O314" t="s">
        <v>343</v>
      </c>
    </row>
    <row r="315" spans="1:15" x14ac:dyDescent="0.35">
      <c r="A315" s="2" t="s">
        <v>60</v>
      </c>
      <c r="B315" s="71">
        <v>0.22904969897284119</v>
      </c>
      <c r="C315" s="73">
        <v>1.2235749900710949E-2</v>
      </c>
      <c r="D315" s="75">
        <v>0.1504057984250238</v>
      </c>
      <c r="E315">
        <v>0.60830875270142415</v>
      </c>
      <c r="F315" s="76">
        <v>0</v>
      </c>
      <c r="G315" s="79">
        <v>0</v>
      </c>
      <c r="H315" s="58">
        <f t="shared" si="26"/>
        <v>0.2137917309695738</v>
      </c>
      <c r="I315" cm="1">
        <f t="array" ref="I315">SQRT(MMULT(B315:F315,MMULT($M$273:$Q$277,TRANSPOSE(B315:F315))))</f>
        <v>0.76730373538780139</v>
      </c>
      <c r="J315">
        <f t="shared" si="27"/>
        <v>3.5890243832536339</v>
      </c>
      <c r="L315" s="86">
        <v>0.1</v>
      </c>
      <c r="M315" s="2" t="s">
        <v>1</v>
      </c>
      <c r="N315" s="86">
        <v>0.2</v>
      </c>
      <c r="O315" t="s">
        <v>344</v>
      </c>
    </row>
    <row r="316" spans="1:15" x14ac:dyDescent="0.35">
      <c r="A316" s="2" t="s">
        <v>61</v>
      </c>
      <c r="B316" s="71">
        <v>7.8293071226426758E-2</v>
      </c>
      <c r="C316" s="73">
        <v>0.41490872341909402</v>
      </c>
      <c r="D316" s="75">
        <v>0.43021709578949241</v>
      </c>
      <c r="E316">
        <v>7.6581109564986871E-2</v>
      </c>
      <c r="F316" s="76">
        <v>0</v>
      </c>
      <c r="G316" s="79">
        <v>0</v>
      </c>
      <c r="H316" s="58">
        <f t="shared" si="26"/>
        <v>5.254401778844113E-2</v>
      </c>
      <c r="I316" cm="1">
        <f t="array" ref="I316">SQRT(MMULT(B316:F316,MMULT($M$273:$Q$277,TRANSPOSE(B316:F316))))</f>
        <v>0.72619832198630829</v>
      </c>
      <c r="J316">
        <f t="shared" si="27"/>
        <v>13.820761193219234</v>
      </c>
      <c r="L316" t="s">
        <v>346</v>
      </c>
    </row>
    <row r="317" spans="1:15" x14ac:dyDescent="0.35">
      <c r="A317" s="2" t="s">
        <v>62</v>
      </c>
      <c r="B317" s="71">
        <v>0.2332306439430244</v>
      </c>
      <c r="C317" s="73">
        <v>0.41616657954214831</v>
      </c>
      <c r="D317" s="75">
        <v>0.25880983056366069</v>
      </c>
      <c r="E317">
        <v>9.1792945951166521E-2</v>
      </c>
      <c r="F317" s="76">
        <v>0</v>
      </c>
      <c r="G317" s="79">
        <v>0</v>
      </c>
      <c r="H317" s="58">
        <f t="shared" si="26"/>
        <v>6.5993730786055402E-2</v>
      </c>
      <c r="I317" cm="1">
        <f t="array" ref="I317">SQRT(MMULT(B317:F317,MMULT($M$273:$Q$277,TRANSPOSE(B317:F317))))</f>
        <v>0.67876288138950391</v>
      </c>
      <c r="J317">
        <f t="shared" si="27"/>
        <v>10.285263059153003</v>
      </c>
      <c r="L317" t="s">
        <v>345</v>
      </c>
      <c r="N317">
        <f>(N303-B263)/O303</f>
        <v>1.133529263526899</v>
      </c>
    </row>
    <row r="318" spans="1:15" x14ac:dyDescent="0.35">
      <c r="A318" s="2" t="s">
        <v>63</v>
      </c>
      <c r="B318" s="71">
        <v>0.2001148723377858</v>
      </c>
      <c r="C318" s="73">
        <v>0.36981131462896571</v>
      </c>
      <c r="D318" s="75">
        <v>0.27761478940743162</v>
      </c>
      <c r="E318">
        <v>0.15245902362581709</v>
      </c>
      <c r="F318" s="76">
        <v>0</v>
      </c>
      <c r="G318" s="79">
        <v>0</v>
      </c>
      <c r="H318" s="58">
        <f t="shared" si="26"/>
        <v>8.2195132129269377E-2</v>
      </c>
      <c r="I318" cm="1">
        <f t="array" ref="I318">SQRT(MMULT(B318:F318,MMULT($M$273:$Q$277,TRANSPOSE(B318:F318))))</f>
        <v>0.66480193898407525</v>
      </c>
      <c r="J318">
        <f t="shared" si="27"/>
        <v>8.0880938050994597</v>
      </c>
    </row>
    <row r="319" spans="1:15" x14ac:dyDescent="0.35">
      <c r="A319" s="2" t="s">
        <v>64</v>
      </c>
      <c r="B319" s="71">
        <v>0.25494526735922879</v>
      </c>
      <c r="C319" s="73">
        <v>0.2306462959335786</v>
      </c>
      <c r="D319" s="75">
        <v>0.48850227073325941</v>
      </c>
      <c r="E319">
        <v>2.5906165973933089E-2</v>
      </c>
      <c r="F319" s="76">
        <v>0</v>
      </c>
      <c r="G319" s="79">
        <v>0</v>
      </c>
      <c r="H319" s="58">
        <f t="shared" si="26"/>
        <v>1.5351799635925246E-3</v>
      </c>
      <c r="I319" cm="1">
        <f t="array" ref="I319">SQRT(MMULT(B319:F319,MMULT($M$273:$Q$277,TRANSPOSE(B319:F319))))</f>
        <v>0.68412322056163111</v>
      </c>
      <c r="J319">
        <f t="shared" si="27"/>
        <v>445.63063405328199</v>
      </c>
      <c r="L319" t="s">
        <v>355</v>
      </c>
      <c r="N319" s="114">
        <v>100000</v>
      </c>
    </row>
    <row r="320" spans="1:15" x14ac:dyDescent="0.35">
      <c r="A320" s="2" t="s">
        <v>65</v>
      </c>
      <c r="B320" s="71">
        <v>0.49898306700999251</v>
      </c>
      <c r="C320" s="73">
        <v>0.15530559528268079</v>
      </c>
      <c r="D320" s="75">
        <v>0.19002188036185039</v>
      </c>
      <c r="E320">
        <v>0.15568945734547629</v>
      </c>
      <c r="F320" s="76">
        <v>0</v>
      </c>
      <c r="G320" s="79">
        <v>0</v>
      </c>
      <c r="H320" s="58">
        <f t="shared" si="26"/>
        <v>5.4102349701245001E-2</v>
      </c>
      <c r="I320" cm="1">
        <f t="array" ref="I320">SQRT(MMULT(B320:F320,MMULT($M$273:$Q$277,TRANSPOSE(B320:F320))))</f>
        <v>0.67777033246167673</v>
      </c>
      <c r="J320">
        <f t="shared" si="27"/>
        <v>12.527558159753641</v>
      </c>
    </row>
    <row r="321" spans="1:32" x14ac:dyDescent="0.35">
      <c r="A321" s="2" t="s">
        <v>66</v>
      </c>
      <c r="B321" s="71">
        <v>0.25562726457715679</v>
      </c>
      <c r="C321" s="73">
        <v>0.36387599884629579</v>
      </c>
      <c r="D321" s="75">
        <v>0.16250333045638421</v>
      </c>
      <c r="E321">
        <v>0.21799340612016299</v>
      </c>
      <c r="F321" s="76">
        <v>0</v>
      </c>
      <c r="G321" s="79">
        <v>0</v>
      </c>
      <c r="H321" s="58">
        <f t="shared" si="26"/>
        <v>0.11219103982419075</v>
      </c>
      <c r="I321" cm="1">
        <f t="array" ref="I321">SQRT(MMULT(B321:F321,MMULT($M$273:$Q$277,TRANSPOSE(B321:F321))))</f>
        <v>0.65884498504683964</v>
      </c>
      <c r="J321">
        <f t="shared" si="27"/>
        <v>5.8725276642349007</v>
      </c>
      <c r="L321" s="89" t="s">
        <v>337</v>
      </c>
      <c r="M321" s="90"/>
      <c r="N321" s="90"/>
      <c r="O321" s="90"/>
      <c r="P321" s="90"/>
      <c r="Q321" s="90"/>
      <c r="R321" s="90"/>
      <c r="S321" s="89" t="s">
        <v>338</v>
      </c>
      <c r="T321" s="90"/>
      <c r="U321" s="90"/>
      <c r="V321" s="90"/>
      <c r="W321" s="90"/>
      <c r="X321" s="90"/>
      <c r="Y321" s="90"/>
      <c r="Z321" s="89" t="s">
        <v>348</v>
      </c>
      <c r="AA321" s="90"/>
      <c r="AB321" s="91" t="s">
        <v>359</v>
      </c>
      <c r="AC321" s="91" t="s">
        <v>360</v>
      </c>
      <c r="AD321" s="90"/>
      <c r="AE321" s="90"/>
    </row>
    <row r="322" spans="1:32" x14ac:dyDescent="0.35">
      <c r="A322" s="2" t="s">
        <v>67</v>
      </c>
      <c r="B322" s="71">
        <v>0.31831446482219777</v>
      </c>
      <c r="C322" s="73">
        <v>0.37056983178640979</v>
      </c>
      <c r="D322" s="75">
        <v>6.2430277396489577E-2</v>
      </c>
      <c r="E322">
        <v>0.24868542599490279</v>
      </c>
      <c r="F322" s="76">
        <v>0</v>
      </c>
      <c r="G322" s="79">
        <v>0</v>
      </c>
      <c r="H322" s="58">
        <f t="shared" si="26"/>
        <v>0.12963930659367651</v>
      </c>
      <c r="I322" cm="1">
        <f t="array" ref="I322">SQRT(MMULT(B322:F322,MMULT($M$273:$Q$277,TRANSPOSE(B322:F322))))</f>
        <v>0.67684548060847438</v>
      </c>
      <c r="J322">
        <f t="shared" si="27"/>
        <v>5.2209896704391143</v>
      </c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 t="s">
        <v>349</v>
      </c>
      <c r="AA322" s="90"/>
      <c r="AB322" s="92">
        <v>0.2</v>
      </c>
      <c r="AC322" s="92">
        <v>0.8</v>
      </c>
      <c r="AD322" s="90"/>
      <c r="AE322" s="90"/>
    </row>
    <row r="323" spans="1:32" x14ac:dyDescent="0.35">
      <c r="A323" s="2" t="s">
        <v>68</v>
      </c>
      <c r="B323" s="71">
        <v>0.38341797486289031</v>
      </c>
      <c r="C323" s="73">
        <v>0.1426325985756691</v>
      </c>
      <c r="D323" s="75">
        <v>0.13187758124109719</v>
      </c>
      <c r="E323">
        <v>0.3420718453203434</v>
      </c>
      <c r="F323" s="76">
        <v>0</v>
      </c>
      <c r="G323" s="79">
        <v>0</v>
      </c>
      <c r="H323" s="58">
        <f t="shared" si="26"/>
        <v>0.12874492092609086</v>
      </c>
      <c r="I323" cm="1">
        <f t="array" ref="I323">SQRT(MMULT(B323:F323,MMULT($M$273:$Q$277,TRANSPOSE(B323:F323))))</f>
        <v>0.67145789766240793</v>
      </c>
      <c r="J323">
        <f t="shared" si="27"/>
        <v>5.215412715565491</v>
      </c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  <c r="AA323" s="90"/>
      <c r="AB323" s="93"/>
      <c r="AC323" s="93"/>
      <c r="AD323" s="90"/>
      <c r="AE323" s="90"/>
    </row>
    <row r="324" spans="1:32" x14ac:dyDescent="0.35">
      <c r="A324" s="2" t="s">
        <v>69</v>
      </c>
      <c r="B324" s="71">
        <v>0.16078293290840159</v>
      </c>
      <c r="C324" s="73">
        <v>0.39602228057002858</v>
      </c>
      <c r="D324" s="75">
        <v>0.2654251235738157</v>
      </c>
      <c r="E324">
        <v>0.1777696629477542</v>
      </c>
      <c r="F324" s="76">
        <v>0</v>
      </c>
      <c r="G324" s="79">
        <v>0</v>
      </c>
      <c r="H324" s="58">
        <f t="shared" si="26"/>
        <v>9.6816846069292722E-2</v>
      </c>
      <c r="I324" cm="1">
        <f t="array" ref="I324">SQRT(MMULT(B324:F324,MMULT($M$273:$Q$277,TRANSPOSE(B324:F324))))</f>
        <v>0.67194120507865551</v>
      </c>
      <c r="J324">
        <f t="shared" si="27"/>
        <v>6.9403335510200455</v>
      </c>
      <c r="L324" s="94" t="s">
        <v>350</v>
      </c>
      <c r="M324" s="95"/>
      <c r="N324" s="95"/>
      <c r="O324" s="96">
        <v>1</v>
      </c>
      <c r="P324" s="97" t="str">
        <f>IF(O324=1,"dia","dias")</f>
        <v>dia</v>
      </c>
      <c r="Q324" s="90"/>
      <c r="R324" s="90"/>
      <c r="S324" s="94" t="s">
        <v>350</v>
      </c>
      <c r="T324" s="95"/>
      <c r="U324" s="95"/>
      <c r="V324" s="98">
        <v>1</v>
      </c>
      <c r="W324" s="97" t="str">
        <f>IF(V324=1,"dia","dias")</f>
        <v>dia</v>
      </c>
      <c r="X324" s="90"/>
      <c r="Y324" s="90"/>
      <c r="Z324" s="94" t="s">
        <v>350</v>
      </c>
      <c r="AA324" s="95"/>
      <c r="AB324" s="95"/>
      <c r="AC324" s="99">
        <v>1</v>
      </c>
      <c r="AD324" s="97" t="str">
        <f>IF(AC324=1,"dia","dias")</f>
        <v>dia</v>
      </c>
      <c r="AE324" s="90"/>
    </row>
    <row r="325" spans="1:32" ht="15" thickBot="1" x14ac:dyDescent="0.4">
      <c r="A325" s="2" t="s">
        <v>70</v>
      </c>
      <c r="B325" s="71">
        <v>0.24988220142656739</v>
      </c>
      <c r="C325" s="73">
        <v>0.38957589535843301</v>
      </c>
      <c r="D325" s="75">
        <v>5.5601474619327462E-2</v>
      </c>
      <c r="E325">
        <v>0.30494042859567222</v>
      </c>
      <c r="F325" s="76">
        <v>0</v>
      </c>
      <c r="G325" s="79">
        <v>0</v>
      </c>
      <c r="H325" s="58">
        <f t="shared" si="26"/>
        <v>0.15523649094153272</v>
      </c>
      <c r="I325" cm="1">
        <f t="array" ref="I325">SQRT(MMULT(B325:F325,MMULT($M$273:$Q$277,TRANSPOSE(B325:F325))))</f>
        <v>0.67539608244195759</v>
      </c>
      <c r="J325">
        <f t="shared" si="27"/>
        <v>4.3507559230795447</v>
      </c>
      <c r="L325" s="94"/>
      <c r="M325" s="95"/>
      <c r="N325" s="95"/>
      <c r="O325" s="100"/>
      <c r="P325" s="97"/>
      <c r="Q325" s="90"/>
      <c r="R325" s="90"/>
      <c r="S325" s="94"/>
      <c r="T325" s="95"/>
      <c r="U325" s="95"/>
      <c r="V325" s="100"/>
      <c r="W325" s="97"/>
      <c r="X325" s="90"/>
      <c r="Y325" s="90"/>
      <c r="Z325" s="90"/>
      <c r="AA325" s="90"/>
      <c r="AB325" s="90"/>
      <c r="AC325" s="90"/>
      <c r="AD325" s="90"/>
      <c r="AE325" s="90"/>
    </row>
    <row r="326" spans="1:32" ht="15" thickBot="1" x14ac:dyDescent="0.4">
      <c r="A326" s="2" t="s">
        <v>71</v>
      </c>
      <c r="B326" s="71">
        <v>0.21080764635206201</v>
      </c>
      <c r="C326" s="73">
        <v>0.2143524543948829</v>
      </c>
      <c r="D326" s="75">
        <v>0.38903646586373097</v>
      </c>
      <c r="E326">
        <v>0.18580343338932401</v>
      </c>
      <c r="F326" s="76">
        <v>0</v>
      </c>
      <c r="G326" s="79">
        <v>0</v>
      </c>
      <c r="H326" s="58">
        <f t="shared" si="26"/>
        <v>6.6819277015695483E-2</v>
      </c>
      <c r="I326" cm="1">
        <f t="array" ref="I326">SQRT(MMULT(B326:F326,MMULT($M$273:$Q$277,TRANSPOSE(B326:F326))))</f>
        <v>0.6616673177155119</v>
      </c>
      <c r="J326">
        <f t="shared" si="27"/>
        <v>9.9023417682308938</v>
      </c>
      <c r="L326" s="131" t="s">
        <v>351</v>
      </c>
      <c r="M326" s="132"/>
      <c r="N326" s="132"/>
      <c r="O326" s="132"/>
      <c r="P326" s="132"/>
      <c r="Q326" s="133"/>
      <c r="R326" s="90"/>
      <c r="S326" s="134" t="s">
        <v>351</v>
      </c>
      <c r="T326" s="135"/>
      <c r="U326" s="135"/>
      <c r="V326" s="135"/>
      <c r="W326" s="135"/>
      <c r="X326" s="136"/>
      <c r="Y326" s="90"/>
      <c r="Z326" s="137" t="s">
        <v>351</v>
      </c>
      <c r="AA326" s="138"/>
      <c r="AB326" s="138"/>
      <c r="AC326" s="138"/>
      <c r="AD326" s="138"/>
      <c r="AE326" s="139"/>
    </row>
    <row r="327" spans="1:32" x14ac:dyDescent="0.35">
      <c r="A327" s="2" t="s">
        <v>72</v>
      </c>
      <c r="B327" s="71">
        <v>0.26707090542827511</v>
      </c>
      <c r="C327" s="73">
        <v>7.4081493610561988E-2</v>
      </c>
      <c r="D327" s="75">
        <v>0.35626099335115058</v>
      </c>
      <c r="E327">
        <v>0.30258660761001233</v>
      </c>
      <c r="F327" s="76">
        <v>0</v>
      </c>
      <c r="G327" s="79">
        <v>0</v>
      </c>
      <c r="H327" s="58">
        <f t="shared" si="26"/>
        <v>9.3040453858338562E-2</v>
      </c>
      <c r="I327" cm="1">
        <f t="array" ref="I327">SQRT(MMULT(B327:F327,MMULT($M$273:$Q$277,TRANSPOSE(B327:F327))))</f>
        <v>0.67363337585802341</v>
      </c>
      <c r="J327">
        <f t="shared" si="27"/>
        <v>7.2402202259641104</v>
      </c>
      <c r="L327" s="101"/>
      <c r="M327" s="66" t="s">
        <v>10</v>
      </c>
      <c r="N327" s="120">
        <f>AVERAGE(E4:E252)</f>
        <v>5.2341674756432941E-4</v>
      </c>
      <c r="O327" s="66" t="s">
        <v>352</v>
      </c>
      <c r="P327" s="66"/>
      <c r="Q327" s="121">
        <f>STDEV(E4:E252)</f>
        <v>2.075282653272284E-2</v>
      </c>
      <c r="R327" s="90"/>
      <c r="S327" s="101"/>
      <c r="T327" s="66" t="s">
        <v>10</v>
      </c>
      <c r="U327" s="120">
        <f>AVERAGE(I4:I252)</f>
        <v>1.502253610719423E-3</v>
      </c>
      <c r="V327" s="66" t="s">
        <v>352</v>
      </c>
      <c r="W327" s="66"/>
      <c r="X327" s="121">
        <f>STDEV(I4:I252)</f>
        <v>1.2239197612563405E-2</v>
      </c>
      <c r="Y327" s="90"/>
      <c r="Z327" s="101"/>
      <c r="AA327" s="66" t="s">
        <v>10</v>
      </c>
      <c r="AB327" s="120">
        <f>AB322*N327+AC322*U327</f>
        <v>1.3064862380884044E-3</v>
      </c>
      <c r="AC327" s="66" t="s">
        <v>352</v>
      </c>
      <c r="AD327" s="66"/>
      <c r="AE327" s="121">
        <f>SQRT(AB322^2*Q327^2+AC322^2*X327^2+2*Q327*X327*AB322*AC322*P274)</f>
        <v>1.1036580759499308E-2</v>
      </c>
    </row>
    <row r="328" spans="1:32" x14ac:dyDescent="0.35">
      <c r="A328" s="2" t="s">
        <v>73</v>
      </c>
      <c r="B328" s="71">
        <v>0.2024679519753475</v>
      </c>
      <c r="C328" s="73">
        <v>0.22485565886351369</v>
      </c>
      <c r="D328" s="75">
        <v>0.1136069384406091</v>
      </c>
      <c r="E328">
        <v>0.45906945072052968</v>
      </c>
      <c r="F328" s="76">
        <v>0</v>
      </c>
      <c r="G328" s="79">
        <v>0</v>
      </c>
      <c r="H328" s="58">
        <f t="shared" si="26"/>
        <v>0.18873228066629744</v>
      </c>
      <c r="I328" cm="1">
        <f t="array" ref="I328">SQRT(MMULT(B328:F328,MMULT($M$273:$Q$277,TRANSPOSE(B328:F328))))</f>
        <v>0.68212187747407871</v>
      </c>
      <c r="J328">
        <f t="shared" si="27"/>
        <v>3.6142300356140797</v>
      </c>
      <c r="L328" s="102"/>
      <c r="M328" s="90"/>
      <c r="N328" s="90"/>
      <c r="O328" s="90"/>
      <c r="P328" s="90"/>
      <c r="Q328" s="103"/>
      <c r="R328" s="90"/>
      <c r="S328" s="102"/>
      <c r="T328" s="90"/>
      <c r="U328" s="90"/>
      <c r="V328" s="90"/>
      <c r="W328" s="90"/>
      <c r="X328" s="103"/>
      <c r="Y328" s="90"/>
      <c r="Z328" s="102"/>
      <c r="AA328" s="90"/>
      <c r="AB328" s="90"/>
      <c r="AC328" s="90"/>
      <c r="AD328" s="90"/>
      <c r="AE328" s="103"/>
    </row>
    <row r="329" spans="1:32" x14ac:dyDescent="0.35">
      <c r="A329" s="2" t="s">
        <v>74</v>
      </c>
      <c r="B329" s="71">
        <v>0.2277254608383793</v>
      </c>
      <c r="C329" s="73">
        <v>6.6520552594555055E-2</v>
      </c>
      <c r="D329" s="75">
        <v>0.37208393380626509</v>
      </c>
      <c r="E329">
        <v>0.33367005276080047</v>
      </c>
      <c r="F329" s="76">
        <v>0</v>
      </c>
      <c r="G329" s="79">
        <v>0</v>
      </c>
      <c r="H329" s="58">
        <f t="shared" si="26"/>
        <v>0.10357668942410603</v>
      </c>
      <c r="I329" cm="1">
        <f t="array" ref="I329">SQRT(MMULT(B329:F329,MMULT($M$273:$Q$277,TRANSPOSE(B329:F329))))</f>
        <v>0.68823341816998773</v>
      </c>
      <c r="J329">
        <f t="shared" si="27"/>
        <v>6.6446748008322709</v>
      </c>
      <c r="L329" s="102"/>
      <c r="M329" s="89" t="s">
        <v>353</v>
      </c>
      <c r="N329" s="90"/>
      <c r="O329" s="90"/>
      <c r="P329" s="104">
        <v>0.99</v>
      </c>
      <c r="Q329" s="103"/>
      <c r="R329" s="90"/>
      <c r="S329" s="102"/>
      <c r="T329" s="89" t="s">
        <v>353</v>
      </c>
      <c r="U329" s="90"/>
      <c r="V329" s="90"/>
      <c r="W329" s="105">
        <v>0.99</v>
      </c>
      <c r="X329" s="103"/>
      <c r="Y329" s="90"/>
      <c r="Z329" s="102"/>
      <c r="AA329" s="89" t="s">
        <v>353</v>
      </c>
      <c r="AB329" s="90"/>
      <c r="AC329" s="90"/>
      <c r="AD329" s="106">
        <v>0.99</v>
      </c>
      <c r="AE329" s="103"/>
    </row>
    <row r="330" spans="1:32" ht="15" thickBot="1" x14ac:dyDescent="0.4">
      <c r="A330" s="2" t="s">
        <v>75</v>
      </c>
      <c r="B330" s="71">
        <v>0.29459204205621331</v>
      </c>
      <c r="C330" s="73">
        <v>0.46471431575578698</v>
      </c>
      <c r="D330" s="75">
        <v>0.11267974397151249</v>
      </c>
      <c r="E330">
        <v>0.12801389821648729</v>
      </c>
      <c r="F330" s="76">
        <v>0</v>
      </c>
      <c r="G330" s="79">
        <v>0</v>
      </c>
      <c r="H330" s="58">
        <f t="shared" si="26"/>
        <v>9.4027811978710379E-2</v>
      </c>
      <c r="I330" cm="1">
        <f t="array" ref="I330">SQRT(MMULT(B330:F330,MMULT($M$273:$Q$277,TRANSPOSE(B330:F330))))</f>
        <v>0.69849935081309478</v>
      </c>
      <c r="J330">
        <f t="shared" si="27"/>
        <v>7.4286462283228269</v>
      </c>
      <c r="L330" s="102"/>
      <c r="M330" s="90"/>
      <c r="N330" s="90"/>
      <c r="O330" s="90"/>
      <c r="P330" s="90"/>
      <c r="Q330" s="103"/>
      <c r="R330" s="90"/>
      <c r="S330" s="102"/>
      <c r="T330" s="90"/>
      <c r="U330" s="90"/>
      <c r="V330" s="90"/>
      <c r="W330" s="90"/>
      <c r="X330" s="103"/>
      <c r="Y330" s="90"/>
      <c r="Z330" s="102"/>
      <c r="AA330" s="90"/>
      <c r="AB330" s="90"/>
      <c r="AC330" s="90"/>
      <c r="AD330" s="90"/>
      <c r="AE330" s="103"/>
    </row>
    <row r="331" spans="1:32" ht="16.5" thickBot="1" x14ac:dyDescent="0.45">
      <c r="A331" s="2" t="s">
        <v>76</v>
      </c>
      <c r="B331" s="71">
        <v>3.7818749984576759E-2</v>
      </c>
      <c r="C331" s="73">
        <v>0.65533517025923882</v>
      </c>
      <c r="D331" s="75">
        <v>0.20363801650833041</v>
      </c>
      <c r="E331">
        <v>0.103208063247854</v>
      </c>
      <c r="F331" s="76">
        <v>0</v>
      </c>
      <c r="G331" s="79">
        <v>0</v>
      </c>
      <c r="H331" s="58">
        <f t="shared" si="26"/>
        <v>0.10971430123197878</v>
      </c>
      <c r="I331" cm="1">
        <f t="array" ref="I331">SQRT(MMULT(B331:F331,MMULT($M$273:$Q$277,TRANSPOSE(B331:F331))))</f>
        <v>0.7798893472489008</v>
      </c>
      <c r="J331">
        <f t="shared" si="27"/>
        <v>7.1083654408909815</v>
      </c>
      <c r="L331" s="107"/>
      <c r="M331" s="140" t="s">
        <v>354</v>
      </c>
      <c r="N331" s="141"/>
      <c r="O331" s="142"/>
      <c r="P331" s="108"/>
      <c r="Q331" s="109"/>
      <c r="R331" s="90"/>
      <c r="S331" s="107"/>
      <c r="T331" s="143" t="s">
        <v>354</v>
      </c>
      <c r="U331" s="144"/>
      <c r="V331" s="145"/>
      <c r="W331" s="108"/>
      <c r="X331" s="109"/>
      <c r="Y331" s="90"/>
      <c r="Z331" s="107"/>
      <c r="AA331" s="146" t="s">
        <v>354</v>
      </c>
      <c r="AB331" s="147"/>
      <c r="AC331" s="148"/>
      <c r="AD331" s="108"/>
      <c r="AE331" s="109"/>
    </row>
    <row r="332" spans="1:32" ht="15" thickBot="1" x14ac:dyDescent="0.4">
      <c r="A332" s="2" t="s">
        <v>77</v>
      </c>
      <c r="B332" s="71">
        <v>0.17591810222581669</v>
      </c>
      <c r="C332" s="73">
        <v>0.18007935313802401</v>
      </c>
      <c r="D332" s="75">
        <v>0.33770268399560449</v>
      </c>
      <c r="E332">
        <v>0.30629986064055459</v>
      </c>
      <c r="F332" s="76">
        <v>0</v>
      </c>
      <c r="G332" s="79">
        <v>0</v>
      </c>
      <c r="H332" s="58">
        <f t="shared" si="26"/>
        <v>0.11163397512387856</v>
      </c>
      <c r="I332" cm="1">
        <f t="array" ref="I332">SQRT(MMULT(B332:F332,MMULT($M$273:$Q$277,TRANSPOSE(B332:F332))))</f>
        <v>0.67070838728639481</v>
      </c>
      <c r="J332">
        <f t="shared" si="27"/>
        <v>6.0081026993988145</v>
      </c>
      <c r="L332" s="110"/>
      <c r="M332" s="111"/>
      <c r="N332" s="111"/>
      <c r="O332" s="117" t="s">
        <v>357</v>
      </c>
      <c r="P332" s="118">
        <f>N319*Q327*SQRT(1)*2.33</f>
        <v>4835.4085821244216</v>
      </c>
      <c r="Q332" s="112"/>
      <c r="R332" s="90"/>
      <c r="S332" s="110"/>
      <c r="T332" s="111"/>
      <c r="U332" s="117"/>
      <c r="V332" s="117" t="s">
        <v>356</v>
      </c>
      <c r="W332" s="119">
        <f>N319*X327*SQRT(1)*2.33</f>
        <v>2851.7330437272735</v>
      </c>
      <c r="X332" s="112"/>
      <c r="Y332" s="90"/>
      <c r="Z332" s="110"/>
      <c r="AA332" s="111"/>
      <c r="AB332" s="117"/>
      <c r="AC332" s="117" t="s">
        <v>358</v>
      </c>
      <c r="AD332" s="119">
        <f>N319*AE327*SQRT(1)*2.33</f>
        <v>2571.5233169633389</v>
      </c>
      <c r="AE332" s="112"/>
    </row>
    <row r="333" spans="1:32" x14ac:dyDescent="0.35">
      <c r="A333" s="2" t="s">
        <v>78</v>
      </c>
      <c r="B333" s="71">
        <v>0.24730340590807909</v>
      </c>
      <c r="C333" s="73">
        <v>0.27169390562867662</v>
      </c>
      <c r="D333" s="75">
        <v>0.31251212109859572</v>
      </c>
      <c r="E333">
        <v>0.16849056736464871</v>
      </c>
      <c r="F333" s="76">
        <v>0</v>
      </c>
      <c r="G333" s="79">
        <v>0</v>
      </c>
      <c r="H333" s="58">
        <f t="shared" si="26"/>
        <v>7.1984892850862042E-2</v>
      </c>
      <c r="I333" cm="1">
        <f t="array" ref="I333">SQRT(MMULT(B333:F333,MMULT($M$273:$Q$277,TRANSPOSE(B333:F333))))</f>
        <v>0.64986998919628003</v>
      </c>
      <c r="J333">
        <f t="shared" si="27"/>
        <v>9.0278663127647842</v>
      </c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  <c r="AA333" s="90"/>
      <c r="AB333" s="90"/>
      <c r="AC333" s="90"/>
      <c r="AD333" s="90"/>
      <c r="AE333" s="90"/>
    </row>
    <row r="334" spans="1:32" x14ac:dyDescent="0.35">
      <c r="A334" s="2" t="s">
        <v>79</v>
      </c>
      <c r="B334" s="71">
        <v>0.31481570824397043</v>
      </c>
      <c r="C334" s="73">
        <v>0.35635801990162908</v>
      </c>
      <c r="D334" s="75">
        <v>0.2234043908206482</v>
      </c>
      <c r="E334">
        <v>0.10542188103375209</v>
      </c>
      <c r="F334" s="76">
        <v>0</v>
      </c>
      <c r="G334" s="79">
        <v>0</v>
      </c>
      <c r="H334" s="58">
        <f t="shared" si="26"/>
        <v>6.3686381972634654E-2</v>
      </c>
      <c r="I334" cm="1">
        <f t="array" ref="I334">SQRT(MMULT(B334:F334,MMULT($M$273:$Q$277,TRANSPOSE(B334:F334))))</f>
        <v>0.66546845918769659</v>
      </c>
      <c r="J334">
        <f t="shared" si="27"/>
        <v>10.449148445481503</v>
      </c>
      <c r="L334" s="127" t="s">
        <v>361</v>
      </c>
      <c r="M334" s="127"/>
      <c r="N334" s="127"/>
      <c r="O334" s="127"/>
      <c r="P334" s="127"/>
      <c r="Q334" s="127"/>
      <c r="R334" s="90"/>
      <c r="S334" s="127"/>
      <c r="T334" s="127"/>
      <c r="U334" s="127"/>
      <c r="V334" s="127"/>
      <c r="W334" s="127"/>
      <c r="X334" s="127"/>
      <c r="Y334" s="90"/>
      <c r="Z334" s="127"/>
      <c r="AA334" s="127"/>
      <c r="AB334" s="127"/>
      <c r="AC334" s="127"/>
      <c r="AD334" s="127"/>
      <c r="AE334" s="127"/>
      <c r="AF334" s="90"/>
    </row>
    <row r="335" spans="1:32" x14ac:dyDescent="0.35">
      <c r="A335" s="2" t="s">
        <v>80</v>
      </c>
      <c r="B335" s="71">
        <v>0.27366075485862718</v>
      </c>
      <c r="C335" s="73">
        <v>0.11328286048179829</v>
      </c>
      <c r="D335" s="75">
        <v>0.23172673319348</v>
      </c>
      <c r="E335">
        <v>0.38132965146609449</v>
      </c>
      <c r="F335" s="76">
        <v>0</v>
      </c>
      <c r="G335" s="79">
        <v>0</v>
      </c>
      <c r="H335" s="58">
        <f t="shared" si="26"/>
        <v>0.13564383639060987</v>
      </c>
      <c r="I335" cm="1">
        <f t="array" ref="I335">SQRT(MMULT(B335:F335,MMULT($M$273:$Q$277,TRANSPOSE(B335:F335))))</f>
        <v>0.67135096367373148</v>
      </c>
      <c r="J335">
        <f t="shared" si="27"/>
        <v>4.9493657916048646</v>
      </c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90"/>
      <c r="AB335" s="90"/>
      <c r="AC335" s="90"/>
      <c r="AD335" s="90"/>
      <c r="AE335" s="90"/>
      <c r="AF335" s="90"/>
    </row>
    <row r="336" spans="1:32" x14ac:dyDescent="0.35">
      <c r="A336" s="2" t="s">
        <v>81</v>
      </c>
      <c r="B336" s="71">
        <v>0.24350838368023181</v>
      </c>
      <c r="C336" s="73">
        <v>0.3437090771836887</v>
      </c>
      <c r="D336" s="75">
        <v>0.3663557769420866</v>
      </c>
      <c r="E336">
        <v>4.6426762193992888E-2</v>
      </c>
      <c r="F336" s="76">
        <v>0</v>
      </c>
      <c r="G336" s="79">
        <v>0</v>
      </c>
      <c r="H336" s="58">
        <f t="shared" si="26"/>
        <v>3.2257887360097062E-2</v>
      </c>
      <c r="I336" cm="1">
        <f t="array" ref="I336">SQRT(MMULT(B336:F336,MMULT($M$273:$Q$277,TRANSPOSE(B336:F336))))</f>
        <v>0.67603176621217365</v>
      </c>
      <c r="J336">
        <f t="shared" si="27"/>
        <v>20.95709984555354</v>
      </c>
      <c r="L336" s="90"/>
      <c r="M336" s="128"/>
      <c r="N336" s="90"/>
      <c r="O336" s="90"/>
      <c r="P336" s="122"/>
      <c r="Q336" s="90"/>
      <c r="R336" s="90"/>
      <c r="S336" s="90"/>
      <c r="T336" s="89"/>
      <c r="U336" s="90"/>
      <c r="V336" s="90"/>
      <c r="W336" s="122"/>
      <c r="X336" s="90"/>
      <c r="Y336" s="90"/>
      <c r="Z336" s="90"/>
      <c r="AA336" s="89"/>
      <c r="AB336" s="90"/>
      <c r="AC336" s="90"/>
      <c r="AD336" s="122"/>
      <c r="AE336" s="126"/>
      <c r="AF336" s="90"/>
    </row>
    <row r="337" spans="1:32" x14ac:dyDescent="0.35">
      <c r="A337" s="2" t="s">
        <v>82</v>
      </c>
      <c r="B337" s="71">
        <v>0.14980546539211029</v>
      </c>
      <c r="C337" s="73">
        <v>6.8988689133676021E-2</v>
      </c>
      <c r="D337" s="75">
        <v>0.25142584522615719</v>
      </c>
      <c r="E337">
        <v>0.52978000024805649</v>
      </c>
      <c r="F337" s="76">
        <v>0</v>
      </c>
      <c r="G337" s="79">
        <v>0</v>
      </c>
      <c r="H337" s="58">
        <f t="shared" si="26"/>
        <v>0.18705019736567324</v>
      </c>
      <c r="I337" cm="1">
        <f t="array" ref="I337">SQRT(MMULT(B337:F337,MMULT($M$273:$Q$277,TRANSPOSE(B337:F337))))</f>
        <v>0.73896304064945317</v>
      </c>
      <c r="J337">
        <f t="shared" si="27"/>
        <v>3.950613530788313</v>
      </c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  <c r="AA337" s="90"/>
      <c r="AB337" s="90"/>
      <c r="AC337" s="90"/>
      <c r="AD337" s="90"/>
      <c r="AE337" s="90"/>
      <c r="AF337" s="90"/>
    </row>
    <row r="338" spans="1:32" ht="16" x14ac:dyDescent="0.4">
      <c r="A338" s="2" t="s">
        <v>83</v>
      </c>
      <c r="B338" s="71">
        <v>0.68325873593601516</v>
      </c>
      <c r="C338" s="73">
        <v>0.21235287070734021</v>
      </c>
      <c r="D338" s="75">
        <v>4.9913749337195078E-2</v>
      </c>
      <c r="E338">
        <v>5.4474644019449583E-2</v>
      </c>
      <c r="F338" s="76">
        <v>0</v>
      </c>
      <c r="G338" s="79">
        <v>0</v>
      </c>
      <c r="H338" s="58">
        <f t="shared" ref="H338:H401" si="30">B338*$B$253+C338*$D$253+D338*$F$253+E338*$H$253+F338*$J$253+G338*$L$253</f>
        <v>2.8514595782856846E-2</v>
      </c>
      <c r="I338" cm="1">
        <f t="array" ref="I338">SQRT(MMULT(B338:F338,MMULT($M$273:$Q$277,TRANSPOSE(B338:F338))))</f>
        <v>0.79637541834282499</v>
      </c>
      <c r="J338">
        <f t="shared" ref="J338:J401" si="31">I338/H338</f>
        <v>27.928693936514119</v>
      </c>
      <c r="L338" s="90"/>
      <c r="M338" s="129"/>
      <c r="N338" s="129"/>
      <c r="O338" s="129"/>
      <c r="P338" s="123"/>
      <c r="Q338" s="90"/>
      <c r="R338" s="90"/>
      <c r="S338" s="90"/>
      <c r="T338" s="130"/>
      <c r="U338" s="130"/>
      <c r="V338" s="130"/>
      <c r="W338" s="123"/>
      <c r="X338" s="90"/>
      <c r="Y338" s="90"/>
      <c r="Z338" s="90"/>
      <c r="AA338" s="129"/>
      <c r="AB338" s="129"/>
      <c r="AC338" s="129"/>
      <c r="AD338" s="123"/>
      <c r="AE338" s="90"/>
      <c r="AF338" s="90"/>
    </row>
    <row r="339" spans="1:32" x14ac:dyDescent="0.35">
      <c r="A339" s="2" t="s">
        <v>84</v>
      </c>
      <c r="B339" s="71">
        <v>0.1622203833303219</v>
      </c>
      <c r="C339" s="73">
        <v>0.20244350069886299</v>
      </c>
      <c r="D339" s="75">
        <v>0.22671099931908351</v>
      </c>
      <c r="E339">
        <v>0.40862511665173168</v>
      </c>
      <c r="F339" s="76">
        <v>0</v>
      </c>
      <c r="G339" s="79">
        <v>0</v>
      </c>
      <c r="H339" s="58">
        <f t="shared" si="30"/>
        <v>0.16045542601450247</v>
      </c>
      <c r="I339" cm="1">
        <f t="array" ref="I339">SQRT(MMULT(B339:F339,MMULT($M$273:$Q$277,TRANSPOSE(B339:F339))))</f>
        <v>0.67756814700057821</v>
      </c>
      <c r="J339">
        <f t="shared" si="31"/>
        <v>4.2227811413453695</v>
      </c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  <c r="AA339" s="90"/>
      <c r="AB339" s="90"/>
      <c r="AC339" s="90"/>
      <c r="AD339" s="90"/>
      <c r="AE339" s="90"/>
      <c r="AF339" s="90"/>
    </row>
    <row r="340" spans="1:32" x14ac:dyDescent="0.35">
      <c r="A340" s="2" t="s">
        <v>85</v>
      </c>
      <c r="B340" s="71">
        <v>0.1772117124350194</v>
      </c>
      <c r="C340" s="73">
        <v>0.34686244589217369</v>
      </c>
      <c r="D340" s="75">
        <v>0.1192071431901512</v>
      </c>
      <c r="E340">
        <v>0.35671869848265553</v>
      </c>
      <c r="F340" s="76">
        <v>0</v>
      </c>
      <c r="G340" s="79">
        <v>0</v>
      </c>
      <c r="H340" s="58">
        <f t="shared" si="30"/>
        <v>0.1665802910321256</v>
      </c>
      <c r="I340" cm="1">
        <f t="array" ref="I340">SQRT(MMULT(B340:F340,MMULT($M$273:$Q$277,TRANSPOSE(B340:F340))))</f>
        <v>0.66748335186905816</v>
      </c>
      <c r="J340">
        <f t="shared" si="31"/>
        <v>4.0069767421665246</v>
      </c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  <c r="AA340" s="90"/>
      <c r="AB340" s="90"/>
      <c r="AC340" s="90"/>
      <c r="AD340" s="90"/>
      <c r="AE340" s="90"/>
      <c r="AF340" s="90"/>
    </row>
    <row r="341" spans="1:32" ht="18.5" x14ac:dyDescent="0.45">
      <c r="A341" s="2" t="s">
        <v>86</v>
      </c>
      <c r="B341" s="71">
        <v>0.2661795168813505</v>
      </c>
      <c r="C341" s="73">
        <v>0.23148200425548049</v>
      </c>
      <c r="D341" s="75">
        <v>0.2387426099644018</v>
      </c>
      <c r="E341">
        <v>0.26359586889876729</v>
      </c>
      <c r="F341" s="76">
        <v>0</v>
      </c>
      <c r="G341" s="79">
        <v>0</v>
      </c>
      <c r="H341" s="58">
        <f t="shared" si="30"/>
        <v>0.1067253971689387</v>
      </c>
      <c r="I341" cm="1">
        <f t="array" ref="I341">SQRT(MMULT(B341:F341,MMULT($M$273:$Q$277,TRANSPOSE(B341:F341))))</f>
        <v>0.6458348201153169</v>
      </c>
      <c r="J341">
        <f t="shared" si="31"/>
        <v>6.0513695638256229</v>
      </c>
      <c r="L341" s="90"/>
      <c r="M341" s="90"/>
      <c r="N341" s="124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89"/>
      <c r="AA341" s="125"/>
      <c r="AB341" s="90"/>
      <c r="AC341" s="90"/>
      <c r="AD341" s="90"/>
      <c r="AE341" s="90"/>
      <c r="AF341" s="90"/>
    </row>
    <row r="342" spans="1:32" x14ac:dyDescent="0.35">
      <c r="A342" s="2" t="s">
        <v>87</v>
      </c>
      <c r="B342" s="71">
        <v>0.38394010696949282</v>
      </c>
      <c r="C342" s="73">
        <v>0.39133901548495498</v>
      </c>
      <c r="D342" s="75">
        <v>0.13750008541126479</v>
      </c>
      <c r="E342">
        <v>8.7220792134287461E-2</v>
      </c>
      <c r="F342" s="76">
        <v>0</v>
      </c>
      <c r="G342" s="79">
        <v>0</v>
      </c>
      <c r="H342" s="58">
        <f t="shared" si="30"/>
        <v>6.5446673716918202E-2</v>
      </c>
      <c r="I342" cm="1">
        <f t="array" ref="I342">SQRT(MMULT(B342:F342,MMULT($M$273:$Q$277,TRANSPOSE(B342:F342))))</f>
        <v>0.6943835473240475</v>
      </c>
      <c r="J342">
        <f t="shared" si="31"/>
        <v>10.609913504963153</v>
      </c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113"/>
      <c r="AB342" s="90"/>
      <c r="AC342" s="90"/>
      <c r="AD342" s="90"/>
      <c r="AE342" s="90"/>
    </row>
    <row r="343" spans="1:32" x14ac:dyDescent="0.35">
      <c r="A343" s="2" t="s">
        <v>88</v>
      </c>
      <c r="B343" s="71">
        <v>7.047395595075806E-2</v>
      </c>
      <c r="C343" s="73">
        <v>0.25660285961988688</v>
      </c>
      <c r="D343" s="75">
        <v>0.33549787543174209</v>
      </c>
      <c r="E343">
        <v>0.33742530899761292</v>
      </c>
      <c r="F343" s="76">
        <v>0</v>
      </c>
      <c r="G343" s="79">
        <v>0</v>
      </c>
      <c r="H343" s="58">
        <f t="shared" si="30"/>
        <v>0.13590356545346272</v>
      </c>
      <c r="I343" cm="1">
        <f t="array" ref="I343">SQRT(MMULT(B343:F343,MMULT($M$273:$Q$277,TRANSPOSE(B343:F343))))</f>
        <v>0.69693229311024607</v>
      </c>
      <c r="J343">
        <f t="shared" si="31"/>
        <v>5.1281384030273713</v>
      </c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  <c r="AA343" s="90"/>
      <c r="AB343" s="90"/>
      <c r="AC343" s="90"/>
      <c r="AD343" s="90"/>
      <c r="AE343" s="90"/>
    </row>
    <row r="344" spans="1:32" x14ac:dyDescent="0.35">
      <c r="A344" s="2" t="s">
        <v>89</v>
      </c>
      <c r="B344" s="71">
        <v>3.9009395912812057E-2</v>
      </c>
      <c r="C344" s="73">
        <v>0.33360664772351628</v>
      </c>
      <c r="D344" s="75">
        <v>0.52558718682814287</v>
      </c>
      <c r="E344">
        <v>0.1017967695355288</v>
      </c>
      <c r="F344" s="76">
        <v>0</v>
      </c>
      <c r="G344" s="79">
        <v>0</v>
      </c>
      <c r="H344" s="58">
        <f t="shared" si="30"/>
        <v>4.6037700065442271E-2</v>
      </c>
      <c r="I344" cm="1">
        <f t="array" ref="I344">SQRT(MMULT(B344:F344,MMULT($M$273:$Q$277,TRANSPOSE(B344:F344))))</f>
        <v>0.74967169148119195</v>
      </c>
      <c r="J344">
        <f t="shared" si="31"/>
        <v>16.283864971871722</v>
      </c>
    </row>
    <row r="345" spans="1:32" x14ac:dyDescent="0.35">
      <c r="A345" s="2" t="s">
        <v>90</v>
      </c>
      <c r="B345" s="71">
        <v>0.1236619202560163</v>
      </c>
      <c r="C345" s="73">
        <v>0.35317723457522421</v>
      </c>
      <c r="D345" s="75">
        <v>0.49515445760709592</v>
      </c>
      <c r="E345">
        <v>2.8006387561663629E-2</v>
      </c>
      <c r="F345" s="76">
        <v>0</v>
      </c>
      <c r="G345" s="79">
        <v>0</v>
      </c>
      <c r="H345" s="58">
        <f t="shared" si="30"/>
        <v>2.0975476655975558E-2</v>
      </c>
      <c r="I345" cm="1">
        <f t="array" ref="I345">SQRT(MMULT(B345:F345,MMULT($M$273:$Q$277,TRANSPOSE(B345:F345))))</f>
        <v>0.7246976148586658</v>
      </c>
      <c r="J345">
        <f t="shared" si="31"/>
        <v>34.549756687041089</v>
      </c>
    </row>
    <row r="346" spans="1:32" x14ac:dyDescent="0.35">
      <c r="A346" s="2" t="s">
        <v>91</v>
      </c>
      <c r="B346" s="71">
        <v>0.41439664457453068</v>
      </c>
      <c r="C346" s="73">
        <v>0.14287795787833041</v>
      </c>
      <c r="D346" s="75">
        <v>0.2252270709102393</v>
      </c>
      <c r="E346">
        <v>0.21749832663689961</v>
      </c>
      <c r="F346" s="76">
        <v>0</v>
      </c>
      <c r="G346" s="79">
        <v>0</v>
      </c>
      <c r="H346" s="58">
        <f t="shared" si="30"/>
        <v>7.5298026513905922E-2</v>
      </c>
      <c r="I346" cm="1">
        <f t="array" ref="I346">SQRT(MMULT(B346:F346,MMULT($M$273:$Q$277,TRANSPOSE(B346:F346))))</f>
        <v>0.65586536666292417</v>
      </c>
      <c r="J346">
        <f t="shared" si="31"/>
        <v>8.7102597110138067</v>
      </c>
    </row>
    <row r="347" spans="1:32" x14ac:dyDescent="0.35">
      <c r="A347" s="2" t="s">
        <v>92</v>
      </c>
      <c r="B347" s="71">
        <v>0.38471794593667691</v>
      </c>
      <c r="C347" s="73">
        <v>0.23364654173027199</v>
      </c>
      <c r="D347" s="75">
        <v>0.24953646765088441</v>
      </c>
      <c r="E347">
        <v>0.1320990446821666</v>
      </c>
      <c r="F347" s="76">
        <v>0</v>
      </c>
      <c r="G347" s="79">
        <v>0</v>
      </c>
      <c r="H347" s="58">
        <f t="shared" si="30"/>
        <v>5.4289470506913184E-2</v>
      </c>
      <c r="I347" cm="1">
        <f t="array" ref="I347">SQRT(MMULT(B347:F347,MMULT($M$273:$Q$277,TRANSPOSE(B347:F347))))</f>
        <v>0.65215157918439914</v>
      </c>
      <c r="J347">
        <f t="shared" si="31"/>
        <v>12.012487377296388</v>
      </c>
    </row>
    <row r="348" spans="1:32" x14ac:dyDescent="0.35">
      <c r="A348" s="2" t="s">
        <v>93</v>
      </c>
      <c r="B348" s="71">
        <v>0.336844200238479</v>
      </c>
      <c r="C348" s="73">
        <v>0.14510826859470721</v>
      </c>
      <c r="D348" s="75">
        <v>0.32526486932898918</v>
      </c>
      <c r="E348">
        <v>0.19278266183782461</v>
      </c>
      <c r="F348" s="76">
        <v>0</v>
      </c>
      <c r="G348" s="79">
        <v>0</v>
      </c>
      <c r="H348" s="58">
        <f t="shared" si="30"/>
        <v>6.1604305248859764E-2</v>
      </c>
      <c r="I348" cm="1">
        <f t="array" ref="I348">SQRT(MMULT(B348:F348,MMULT($M$273:$Q$277,TRANSPOSE(B348:F348))))</f>
        <v>0.6477971251775636</v>
      </c>
      <c r="J348">
        <f t="shared" si="31"/>
        <v>10.515452167842664</v>
      </c>
    </row>
    <row r="349" spans="1:32" x14ac:dyDescent="0.35">
      <c r="A349" s="2" t="s">
        <v>94</v>
      </c>
      <c r="B349" s="71">
        <v>0.28283276919777289</v>
      </c>
      <c r="C349" s="73">
        <v>3.5022831558294339E-2</v>
      </c>
      <c r="D349" s="75">
        <v>0.24237313042299921</v>
      </c>
      <c r="E349">
        <v>0.43977126882093348</v>
      </c>
      <c r="F349" s="76">
        <v>0</v>
      </c>
      <c r="G349" s="79">
        <v>0</v>
      </c>
      <c r="H349" s="58">
        <f t="shared" si="30"/>
        <v>0.14638600460269252</v>
      </c>
      <c r="I349" cm="1">
        <f t="array" ref="I349">SQRT(MMULT(B349:F349,MMULT($M$273:$Q$277,TRANSPOSE(B349:F349))))</f>
        <v>0.7017782416219791</v>
      </c>
      <c r="J349">
        <f t="shared" si="31"/>
        <v>4.7940255185369756</v>
      </c>
    </row>
    <row r="350" spans="1:32" x14ac:dyDescent="0.35">
      <c r="A350" s="2" t="s">
        <v>95</v>
      </c>
      <c r="B350" s="71">
        <v>0.28136301144888581</v>
      </c>
      <c r="C350" s="73">
        <v>3.1655562322841287E-2</v>
      </c>
      <c r="D350" s="75">
        <v>0.45663838392037742</v>
      </c>
      <c r="E350">
        <v>0.2303430423078956</v>
      </c>
      <c r="F350" s="76">
        <v>0</v>
      </c>
      <c r="G350" s="79">
        <v>0</v>
      </c>
      <c r="H350" s="58">
        <f t="shared" si="30"/>
        <v>5.3541172788804235E-2</v>
      </c>
      <c r="I350" cm="1">
        <f t="array" ref="I350">SQRT(MMULT(B350:F350,MMULT($M$273:$Q$277,TRANSPOSE(B350:F350))))</f>
        <v>0.68767511281423233</v>
      </c>
      <c r="J350">
        <f t="shared" si="31"/>
        <v>12.843855989610095</v>
      </c>
    </row>
    <row r="351" spans="1:32" x14ac:dyDescent="0.35">
      <c r="A351" s="2" t="s">
        <v>96</v>
      </c>
      <c r="B351" s="71">
        <v>0.51181621839480584</v>
      </c>
      <c r="C351" s="73">
        <v>0.27291258865132012</v>
      </c>
      <c r="D351" s="75">
        <v>2.685722493810162E-2</v>
      </c>
      <c r="E351">
        <v>0.18841396801577251</v>
      </c>
      <c r="F351" s="76">
        <v>0</v>
      </c>
      <c r="G351" s="79">
        <v>0</v>
      </c>
      <c r="H351" s="58">
        <f t="shared" si="30"/>
        <v>9.2104616025901961E-2</v>
      </c>
      <c r="I351" cm="1">
        <f t="array" ref="I351">SQRT(MMULT(B351:F351,MMULT($M$273:$Q$277,TRANSPOSE(B351:F351))))</f>
        <v>0.72160780010171344</v>
      </c>
      <c r="J351">
        <f t="shared" si="31"/>
        <v>7.8346540188472265</v>
      </c>
    </row>
    <row r="352" spans="1:32" x14ac:dyDescent="0.35">
      <c r="A352" s="2" t="s">
        <v>97</v>
      </c>
      <c r="B352" s="71">
        <v>0.11473490598861071</v>
      </c>
      <c r="C352" s="73">
        <v>0.38036763241997712</v>
      </c>
      <c r="D352" s="75">
        <v>0.36081648146774847</v>
      </c>
      <c r="E352">
        <v>0.14408098012366369</v>
      </c>
      <c r="F352" s="76">
        <v>0</v>
      </c>
      <c r="G352" s="79">
        <v>0</v>
      </c>
      <c r="H352" s="58">
        <f t="shared" si="30"/>
        <v>7.6992091789180719E-2</v>
      </c>
      <c r="I352" cm="1">
        <f t="array" ref="I352">SQRT(MMULT(B352:F352,MMULT($M$273:$Q$277,TRANSPOSE(B352:F352))))</f>
        <v>0.69055101591129897</v>
      </c>
      <c r="J352">
        <f t="shared" si="31"/>
        <v>8.9691161762712142</v>
      </c>
    </row>
    <row r="353" spans="1:10" x14ac:dyDescent="0.35">
      <c r="A353" s="2" t="s">
        <v>98</v>
      </c>
      <c r="B353" s="71">
        <v>0.77784778739045501</v>
      </c>
      <c r="C353" s="73">
        <v>1.085034501312147E-2</v>
      </c>
      <c r="D353" s="75">
        <v>0.1085174047051361</v>
      </c>
      <c r="E353">
        <v>0.1027844628912875</v>
      </c>
      <c r="F353" s="76">
        <v>0</v>
      </c>
      <c r="G353" s="79">
        <v>0</v>
      </c>
      <c r="H353" s="58">
        <f t="shared" si="30"/>
        <v>1.4216342846064073E-2</v>
      </c>
      <c r="I353" cm="1">
        <f t="array" ref="I353">SQRT(MMULT(B353:F353,MMULT($M$273:$Q$277,TRANSPOSE(B353:F353))))</f>
        <v>0.82089243604212869</v>
      </c>
      <c r="J353">
        <f t="shared" si="31"/>
        <v>57.742869944178395</v>
      </c>
    </row>
    <row r="354" spans="1:10" x14ac:dyDescent="0.35">
      <c r="A354" s="2" t="s">
        <v>99</v>
      </c>
      <c r="B354" s="71">
        <v>0.2529132300163684</v>
      </c>
      <c r="C354" s="73">
        <v>0.24474361012286541</v>
      </c>
      <c r="D354" s="75">
        <v>0.18415772431065941</v>
      </c>
      <c r="E354">
        <v>0.3181854355501067</v>
      </c>
      <c r="F354" s="76">
        <v>0</v>
      </c>
      <c r="G354" s="79">
        <v>0</v>
      </c>
      <c r="H354" s="58">
        <f t="shared" si="30"/>
        <v>0.13278173608702154</v>
      </c>
      <c r="I354" cm="1">
        <f t="array" ref="I354">SQRT(MMULT(B354:F354,MMULT($M$273:$Q$277,TRANSPOSE(B354:F354))))</f>
        <v>0.65151731621525477</v>
      </c>
      <c r="J354">
        <f t="shared" si="31"/>
        <v>4.9066787000605867</v>
      </c>
    </row>
    <row r="355" spans="1:10" x14ac:dyDescent="0.35">
      <c r="A355" s="2" t="s">
        <v>100</v>
      </c>
      <c r="B355" s="71">
        <v>0.31240612834412629</v>
      </c>
      <c r="C355" s="73">
        <v>0.36222720035630368</v>
      </c>
      <c r="D355" s="75">
        <v>0.31277748764711549</v>
      </c>
      <c r="E355">
        <v>1.2589183652454421E-2</v>
      </c>
      <c r="F355" s="76">
        <v>0</v>
      </c>
      <c r="G355" s="79">
        <v>0</v>
      </c>
      <c r="H355" s="58">
        <f t="shared" si="30"/>
        <v>2.3901396050426207E-2</v>
      </c>
      <c r="I355" cm="1">
        <f t="array" ref="I355">SQRT(MMULT(B355:F355,MMULT($M$273:$Q$277,TRANSPOSE(B355:F355))))</f>
        <v>0.68113744563831002</v>
      </c>
      <c r="J355">
        <f t="shared" si="31"/>
        <v>28.497810094492955</v>
      </c>
    </row>
    <row r="356" spans="1:10" x14ac:dyDescent="0.35">
      <c r="A356" s="2" t="s">
        <v>101</v>
      </c>
      <c r="B356" s="71">
        <v>0.68760000298605917</v>
      </c>
      <c r="C356" s="73">
        <v>0.16155524157646189</v>
      </c>
      <c r="D356" s="75">
        <v>3.188505990703179E-2</v>
      </c>
      <c r="E356">
        <v>0.11895969553044709</v>
      </c>
      <c r="F356" s="76">
        <v>0</v>
      </c>
      <c r="G356" s="79">
        <v>0</v>
      </c>
      <c r="H356" s="58">
        <f t="shared" si="30"/>
        <v>4.7098751647158862E-2</v>
      </c>
      <c r="I356" cm="1">
        <f t="array" ref="I356">SQRT(MMULT(B356:F356,MMULT($M$273:$Q$277,TRANSPOSE(B356:F356))))</f>
        <v>0.79263242583012117</v>
      </c>
      <c r="J356">
        <f t="shared" si="31"/>
        <v>16.829159969422143</v>
      </c>
    </row>
    <row r="357" spans="1:10" x14ac:dyDescent="0.35">
      <c r="A357" s="2" t="s">
        <v>102</v>
      </c>
      <c r="B357" s="71">
        <v>0.4693255138078416</v>
      </c>
      <c r="C357" s="73">
        <v>1.3493611568208179E-2</v>
      </c>
      <c r="D357" s="75">
        <v>0.1721718949380335</v>
      </c>
      <c r="E357">
        <v>0.34500897968591671</v>
      </c>
      <c r="F357" s="76">
        <v>0</v>
      </c>
      <c r="G357" s="79">
        <v>0</v>
      </c>
      <c r="H357" s="58">
        <f t="shared" si="30"/>
        <v>0.10831725814307686</v>
      </c>
      <c r="I357" cm="1">
        <f t="array" ref="I357">SQRT(MMULT(B357:F357,MMULT($M$273:$Q$277,TRANSPOSE(B357:F357))))</f>
        <v>0.70242958034685454</v>
      </c>
      <c r="J357">
        <f t="shared" si="31"/>
        <v>6.484927631929267</v>
      </c>
    </row>
    <row r="358" spans="1:10" x14ac:dyDescent="0.35">
      <c r="A358" s="2" t="s">
        <v>103</v>
      </c>
      <c r="B358" s="71">
        <v>0.44568263108723388</v>
      </c>
      <c r="C358" s="73">
        <v>0.20880282764802499</v>
      </c>
      <c r="D358" s="75">
        <v>4.4598945345198232E-2</v>
      </c>
      <c r="E358">
        <v>0.30091559591954281</v>
      </c>
      <c r="F358" s="76">
        <v>0</v>
      </c>
      <c r="G358" s="79">
        <v>0</v>
      </c>
      <c r="H358" s="58">
        <f t="shared" si="30"/>
        <v>0.12623712664776127</v>
      </c>
      <c r="I358" cm="1">
        <f t="array" ref="I358">SQRT(MMULT(B358:F358,MMULT($M$273:$Q$277,TRANSPOSE(B358:F358))))</f>
        <v>0.69284954016088107</v>
      </c>
      <c r="J358">
        <f t="shared" si="31"/>
        <v>5.4884767941061838</v>
      </c>
    </row>
    <row r="359" spans="1:10" x14ac:dyDescent="0.35">
      <c r="A359" s="2" t="s">
        <v>104</v>
      </c>
      <c r="B359" s="71">
        <v>0.34247816808724729</v>
      </c>
      <c r="C359" s="73">
        <v>0.36133225029664628</v>
      </c>
      <c r="D359" s="75">
        <v>0.13931994642045989</v>
      </c>
      <c r="E359">
        <v>0.15686963519564651</v>
      </c>
      <c r="F359" s="76">
        <v>0</v>
      </c>
      <c r="G359" s="79">
        <v>0</v>
      </c>
      <c r="H359" s="58">
        <f t="shared" si="30"/>
        <v>8.845531118871422E-2</v>
      </c>
      <c r="I359" cm="1">
        <f t="array" ref="I359">SQRT(MMULT(B359:F359,MMULT($M$273:$Q$277,TRANSPOSE(B359:F359))))</f>
        <v>0.67132149526871465</v>
      </c>
      <c r="J359">
        <f t="shared" si="31"/>
        <v>7.589385942427918</v>
      </c>
    </row>
    <row r="360" spans="1:10" x14ac:dyDescent="0.35">
      <c r="A360" s="2" t="s">
        <v>105</v>
      </c>
      <c r="B360" s="71">
        <v>0.1159861834096758</v>
      </c>
      <c r="C360" s="73">
        <v>0.39452726600021798</v>
      </c>
      <c r="D360" s="75">
        <v>0.23675314622888949</v>
      </c>
      <c r="E360">
        <v>0.25273340436121688</v>
      </c>
      <c r="F360" s="76">
        <v>0</v>
      </c>
      <c r="G360" s="79">
        <v>0</v>
      </c>
      <c r="H360" s="58">
        <f t="shared" si="30"/>
        <v>0.12761570221344329</v>
      </c>
      <c r="I360" cm="1">
        <f t="array" ref="I360">SQRT(MMULT(B360:F360,MMULT($M$273:$Q$277,TRANSPOSE(B360:F360))))</f>
        <v>0.67560081858835064</v>
      </c>
      <c r="J360">
        <f t="shared" si="31"/>
        <v>5.2940257889140971</v>
      </c>
    </row>
    <row r="361" spans="1:10" x14ac:dyDescent="0.35">
      <c r="A361" s="2" t="s">
        <v>106</v>
      </c>
      <c r="B361" s="71">
        <v>0.38591528466360248</v>
      </c>
      <c r="C361" s="73">
        <v>0.1051901484700393</v>
      </c>
      <c r="D361" s="75">
        <v>0.23264317113478181</v>
      </c>
      <c r="E361">
        <v>0.27625139573157648</v>
      </c>
      <c r="F361" s="76">
        <v>0</v>
      </c>
      <c r="G361" s="79">
        <v>0</v>
      </c>
      <c r="H361" s="58">
        <f t="shared" si="30"/>
        <v>9.2552802349879823E-2</v>
      </c>
      <c r="I361" cm="1">
        <f t="array" ref="I361">SQRT(MMULT(B361:F361,MMULT($M$273:$Q$277,TRANSPOSE(B361:F361))))</f>
        <v>0.65928259609187245</v>
      </c>
      <c r="J361">
        <f t="shared" si="31"/>
        <v>7.1233131720806133</v>
      </c>
    </row>
    <row r="362" spans="1:10" x14ac:dyDescent="0.35">
      <c r="A362" s="2" t="s">
        <v>107</v>
      </c>
      <c r="B362" s="71">
        <v>0.41404913564696849</v>
      </c>
      <c r="C362" s="73">
        <v>0.39726036177954249</v>
      </c>
      <c r="D362" s="75">
        <v>8.4389501876798875E-2</v>
      </c>
      <c r="E362">
        <v>0.10430100069668991</v>
      </c>
      <c r="F362" s="76">
        <v>0</v>
      </c>
      <c r="G362" s="79">
        <v>0</v>
      </c>
      <c r="H362" s="58">
        <f t="shared" si="30"/>
        <v>7.5386719238339533E-2</v>
      </c>
      <c r="I362" cm="1">
        <f t="array" ref="I362">SQRT(MMULT(B362:F362,MMULT($M$273:$Q$277,TRANSPOSE(B362:F362))))</f>
        <v>0.70959250582448719</v>
      </c>
      <c r="J362">
        <f t="shared" si="31"/>
        <v>9.4126991198684333</v>
      </c>
    </row>
    <row r="363" spans="1:10" x14ac:dyDescent="0.35">
      <c r="A363" s="2" t="s">
        <v>108</v>
      </c>
      <c r="B363" s="71">
        <v>0.51666047281184746</v>
      </c>
      <c r="C363" s="73">
        <v>0.1029172202718474</v>
      </c>
      <c r="D363" s="75">
        <v>0.25744678752585792</v>
      </c>
      <c r="E363">
        <v>0.1229755193904471</v>
      </c>
      <c r="F363" s="76">
        <v>0</v>
      </c>
      <c r="G363" s="79">
        <v>0</v>
      </c>
      <c r="H363" s="58">
        <f t="shared" si="30"/>
        <v>3.0179408235943093E-2</v>
      </c>
      <c r="I363" cm="1">
        <f t="array" ref="I363">SQRT(MMULT(B363:F363,MMULT($M$273:$Q$277,TRANSPOSE(B363:F363))))</f>
        <v>0.67791798323786456</v>
      </c>
      <c r="J363">
        <f t="shared" si="31"/>
        <v>22.462931610119423</v>
      </c>
    </row>
    <row r="364" spans="1:10" x14ac:dyDescent="0.35">
      <c r="A364" s="2" t="s">
        <v>109</v>
      </c>
      <c r="B364" s="71">
        <v>0.445402606124633</v>
      </c>
      <c r="C364" s="73">
        <v>0.1805191865296244</v>
      </c>
      <c r="D364" s="75">
        <v>2.5395168445284892E-2</v>
      </c>
      <c r="E364">
        <v>0.34868303890045771</v>
      </c>
      <c r="F364" s="76">
        <v>0</v>
      </c>
      <c r="G364" s="79">
        <v>0</v>
      </c>
      <c r="H364" s="58">
        <f t="shared" si="30"/>
        <v>0.14168940968536045</v>
      </c>
      <c r="I364" cm="1">
        <f t="array" ref="I364">SQRT(MMULT(B364:F364,MMULT($M$273:$Q$277,TRANSPOSE(B364:F364))))</f>
        <v>0.70218832278732468</v>
      </c>
      <c r="J364">
        <f t="shared" si="31"/>
        <v>4.9558278515424981</v>
      </c>
    </row>
    <row r="365" spans="1:10" x14ac:dyDescent="0.35">
      <c r="A365" s="2" t="s">
        <v>110</v>
      </c>
      <c r="B365" s="71">
        <v>6.4223410562680869E-2</v>
      </c>
      <c r="C365" s="73">
        <v>0.37233218837409671</v>
      </c>
      <c r="D365" s="75">
        <v>0.27189940418671149</v>
      </c>
      <c r="E365">
        <v>0.29154499687651098</v>
      </c>
      <c r="F365" s="76">
        <v>0</v>
      </c>
      <c r="G365" s="79">
        <v>0</v>
      </c>
      <c r="H365" s="58">
        <f t="shared" si="30"/>
        <v>0.13815906732919875</v>
      </c>
      <c r="I365" cm="1">
        <f t="array" ref="I365">SQRT(MMULT(B365:F365,MMULT($M$273:$Q$277,TRANSPOSE(B365:F365))))</f>
        <v>0.68912279468357052</v>
      </c>
      <c r="J365">
        <f t="shared" si="31"/>
        <v>4.98789408473323</v>
      </c>
    </row>
    <row r="366" spans="1:10" x14ac:dyDescent="0.35">
      <c r="A366" s="2" t="s">
        <v>111</v>
      </c>
      <c r="B366" s="71">
        <v>0.2613109496133989</v>
      </c>
      <c r="C366" s="73">
        <v>0.16018012354788469</v>
      </c>
      <c r="D366" s="75">
        <v>0.31845381694008212</v>
      </c>
      <c r="E366">
        <v>0.2600551098986344</v>
      </c>
      <c r="F366" s="76">
        <v>0</v>
      </c>
      <c r="G366" s="79">
        <v>0</v>
      </c>
      <c r="H366" s="58">
        <f t="shared" si="30"/>
        <v>9.0977688551195757E-2</v>
      </c>
      <c r="I366" cm="1">
        <f t="array" ref="I366">SQRT(MMULT(B366:F366,MMULT($M$273:$Q$277,TRANSPOSE(B366:F366))))</f>
        <v>0.65278887529135288</v>
      </c>
      <c r="J366">
        <f t="shared" si="31"/>
        <v>7.1752633605766958</v>
      </c>
    </row>
    <row r="367" spans="1:10" x14ac:dyDescent="0.35">
      <c r="A367" s="2" t="s">
        <v>112</v>
      </c>
      <c r="B367" s="71">
        <v>0.47599222488779408</v>
      </c>
      <c r="C367" s="73">
        <v>7.791436678911326E-2</v>
      </c>
      <c r="D367" s="75">
        <v>0.2167195569374992</v>
      </c>
      <c r="E367">
        <v>0.22937385138559341</v>
      </c>
      <c r="F367" s="76">
        <v>0</v>
      </c>
      <c r="G367" s="79">
        <v>0</v>
      </c>
      <c r="H367" s="58">
        <f t="shared" si="30"/>
        <v>7.0368142843074244E-2</v>
      </c>
      <c r="I367" cm="1">
        <f t="array" ref="I367">SQRT(MMULT(B367:F367,MMULT($M$273:$Q$277,TRANSPOSE(B367:F367))))</f>
        <v>0.6745935281533747</v>
      </c>
      <c r="J367">
        <f t="shared" si="31"/>
        <v>9.5866325427653294</v>
      </c>
    </row>
    <row r="368" spans="1:10" x14ac:dyDescent="0.35">
      <c r="A368" s="2" t="s">
        <v>113</v>
      </c>
      <c r="B368" s="71">
        <v>0.4226147685601826</v>
      </c>
      <c r="C368" s="73">
        <v>0.15614855889951471</v>
      </c>
      <c r="D368" s="75">
        <v>0.32772842445314548</v>
      </c>
      <c r="E368">
        <v>9.3508248087157131E-2</v>
      </c>
      <c r="F368" s="76">
        <v>0</v>
      </c>
      <c r="G368" s="79">
        <v>0</v>
      </c>
      <c r="H368" s="58">
        <f t="shared" si="30"/>
        <v>2.3706054600946554E-2</v>
      </c>
      <c r="I368" cm="1">
        <f t="array" ref="I368">SQRT(MMULT(B368:F368,MMULT($M$273:$Q$277,TRANSPOSE(B368:F368))))</f>
        <v>0.65641137244868608</v>
      </c>
      <c r="J368">
        <f t="shared" si="31"/>
        <v>27.689608561961059</v>
      </c>
    </row>
    <row r="369" spans="1:10" x14ac:dyDescent="0.35">
      <c r="A369" s="2" t="s">
        <v>114</v>
      </c>
      <c r="B369" s="71">
        <v>0.35812566750314101</v>
      </c>
      <c r="C369" s="73">
        <v>0.22161281125867521</v>
      </c>
      <c r="D369" s="75">
        <v>0.31359481009451179</v>
      </c>
      <c r="E369">
        <v>0.1066667111436721</v>
      </c>
      <c r="F369" s="76">
        <v>0</v>
      </c>
      <c r="G369" s="79">
        <v>0</v>
      </c>
      <c r="H369" s="58">
        <f t="shared" si="30"/>
        <v>3.962439969506569E-2</v>
      </c>
      <c r="I369" cm="1">
        <f t="array" ref="I369">SQRT(MMULT(B369:F369,MMULT($M$273:$Q$277,TRANSPOSE(B369:F369))))</f>
        <v>0.65005498114649252</v>
      </c>
      <c r="J369">
        <f t="shared" si="31"/>
        <v>16.405421562195727</v>
      </c>
    </row>
    <row r="370" spans="1:10" x14ac:dyDescent="0.35">
      <c r="A370" s="2" t="s">
        <v>115</v>
      </c>
      <c r="B370" s="71">
        <v>0.30921031043033148</v>
      </c>
      <c r="C370" s="73">
        <v>7.2324978253368477E-2</v>
      </c>
      <c r="D370" s="75">
        <v>0.15868945918288269</v>
      </c>
      <c r="E370">
        <v>0.45977525213341741</v>
      </c>
      <c r="F370" s="76">
        <v>0</v>
      </c>
      <c r="G370" s="79">
        <v>0</v>
      </c>
      <c r="H370" s="58">
        <f t="shared" si="30"/>
        <v>0.16361055138317313</v>
      </c>
      <c r="I370" cm="1">
        <f t="array" ref="I370">SQRT(MMULT(B370:F370,MMULT($M$273:$Q$277,TRANSPOSE(B370:F370))))</f>
        <v>0.69873163660479443</v>
      </c>
      <c r="J370">
        <f t="shared" si="31"/>
        <v>4.2707003350192059</v>
      </c>
    </row>
    <row r="371" spans="1:10" x14ac:dyDescent="0.35">
      <c r="A371" s="2" t="s">
        <v>116</v>
      </c>
      <c r="B371" s="71">
        <v>1.222167491901003E-2</v>
      </c>
      <c r="C371" s="73">
        <v>6.2922717704791506E-2</v>
      </c>
      <c r="D371" s="75">
        <v>0.27413364171901561</v>
      </c>
      <c r="E371">
        <v>0.65072196565718288</v>
      </c>
      <c r="F371" s="76">
        <v>0</v>
      </c>
      <c r="G371" s="79">
        <v>0</v>
      </c>
      <c r="H371" s="58">
        <f t="shared" si="30"/>
        <v>0.23327760529381991</v>
      </c>
      <c r="I371" cm="1">
        <f t="array" ref="I371">SQRT(MMULT(B371:F371,MMULT($M$273:$Q$277,TRANSPOSE(B371:F371))))</f>
        <v>0.82715895898680525</v>
      </c>
      <c r="J371">
        <f t="shared" si="31"/>
        <v>3.5458138296000361</v>
      </c>
    </row>
    <row r="372" spans="1:10" x14ac:dyDescent="0.35">
      <c r="A372" s="2" t="s">
        <v>117</v>
      </c>
      <c r="B372" s="71">
        <v>0.26791273049128922</v>
      </c>
      <c r="C372" s="73">
        <v>7.7383620489733462E-2</v>
      </c>
      <c r="D372" s="75">
        <v>0.24639171805578119</v>
      </c>
      <c r="E372">
        <v>0.40831193096319612</v>
      </c>
      <c r="F372" s="76">
        <v>0</v>
      </c>
      <c r="G372" s="79">
        <v>0</v>
      </c>
      <c r="H372" s="58">
        <f t="shared" si="30"/>
        <v>0.14022963335868394</v>
      </c>
      <c r="I372" cm="1">
        <f t="array" ref="I372">SQRT(MMULT(B372:F372,MMULT($M$273:$Q$277,TRANSPOSE(B372:F372))))</f>
        <v>0.68484310429643369</v>
      </c>
      <c r="J372">
        <f t="shared" si="31"/>
        <v>4.8837259849686667</v>
      </c>
    </row>
    <row r="373" spans="1:10" x14ac:dyDescent="0.35">
      <c r="A373" s="2" t="s">
        <v>118</v>
      </c>
      <c r="B373" s="71">
        <v>0.22809170381351981</v>
      </c>
      <c r="C373" s="73">
        <v>0.25179835571963272</v>
      </c>
      <c r="D373" s="75">
        <v>0.224016578783299</v>
      </c>
      <c r="E373">
        <v>0.22399409732320111</v>
      </c>
      <c r="F373" s="77">
        <v>7.2099264360347359E-2</v>
      </c>
      <c r="G373" s="79">
        <v>0</v>
      </c>
      <c r="H373" s="58">
        <f t="shared" si="30"/>
        <v>0.11128622221227208</v>
      </c>
      <c r="I373" cm="1">
        <f t="array" ref="I373">SQRT(MMULT(B373:F373,MMULT($M$273:$Q$277,TRANSPOSE(B373:F373))))</f>
        <v>0.63930949270900794</v>
      </c>
      <c r="J373">
        <f t="shared" si="31"/>
        <v>5.7447317376769407</v>
      </c>
    </row>
    <row r="374" spans="1:10" x14ac:dyDescent="0.35">
      <c r="A374" s="2" t="s">
        <v>119</v>
      </c>
      <c r="B374" s="71">
        <v>2.5205674026186339E-2</v>
      </c>
      <c r="C374" s="73">
        <v>0.1756204212872032</v>
      </c>
      <c r="D374" s="75">
        <v>0.2123746372346981</v>
      </c>
      <c r="E374">
        <v>0.1236602866997023</v>
      </c>
      <c r="F374" s="77">
        <v>0.46313898075220988</v>
      </c>
      <c r="G374" s="79">
        <v>0</v>
      </c>
      <c r="H374" s="58">
        <f t="shared" si="30"/>
        <v>0.14996695754104811</v>
      </c>
      <c r="I374" cm="1">
        <f t="array" ref="I374">SQRT(MMULT(B374:F374,MMULT($M$273:$Q$277,TRANSPOSE(B374:F374))))</f>
        <v>0.7229643064908069</v>
      </c>
      <c r="J374">
        <f t="shared" si="31"/>
        <v>4.8208239891305471</v>
      </c>
    </row>
    <row r="375" spans="1:10" x14ac:dyDescent="0.35">
      <c r="A375" s="2" t="s">
        <v>120</v>
      </c>
      <c r="B375" s="71">
        <v>0.30421011442886708</v>
      </c>
      <c r="C375" s="73">
        <v>0.34230823851355718</v>
      </c>
      <c r="D375" s="75">
        <v>0.2028598382445759</v>
      </c>
      <c r="E375">
        <v>5.4875318229426963E-2</v>
      </c>
      <c r="F375" s="77">
        <v>9.5746490583572819E-2</v>
      </c>
      <c r="G375" s="79">
        <v>0</v>
      </c>
      <c r="H375" s="58">
        <f t="shared" si="30"/>
        <v>6.4274357266070004E-2</v>
      </c>
      <c r="I375" cm="1">
        <f t="array" ref="I375">SQRT(MMULT(B375:F375,MMULT($M$273:$Q$277,TRANSPOSE(B375:F375))))</f>
        <v>0.65360751038991671</v>
      </c>
      <c r="J375">
        <f t="shared" si="31"/>
        <v>10.169024447560702</v>
      </c>
    </row>
    <row r="376" spans="1:10" x14ac:dyDescent="0.35">
      <c r="A376" s="2" t="s">
        <v>121</v>
      </c>
      <c r="B376" s="71">
        <v>0.28716412763457377</v>
      </c>
      <c r="C376" s="73">
        <v>0.1210824165286708</v>
      </c>
      <c r="D376" s="75">
        <v>0.15437560642363951</v>
      </c>
      <c r="E376">
        <v>0.35790561576975177</v>
      </c>
      <c r="F376" s="77">
        <v>7.9472233643364074E-2</v>
      </c>
      <c r="G376" s="79">
        <v>0</v>
      </c>
      <c r="H376" s="58">
        <f t="shared" si="30"/>
        <v>0.14903796490894758</v>
      </c>
      <c r="I376" cm="1">
        <f t="array" ref="I376">SQRT(MMULT(B376:F376,MMULT($M$273:$Q$277,TRANSPOSE(B376:F376))))</f>
        <v>0.66627659907961689</v>
      </c>
      <c r="J376">
        <f t="shared" si="31"/>
        <v>4.4705159486488437</v>
      </c>
    </row>
    <row r="377" spans="1:10" x14ac:dyDescent="0.35">
      <c r="A377" s="2" t="s">
        <v>122</v>
      </c>
      <c r="B377" s="71">
        <v>7.6239694734059837E-2</v>
      </c>
      <c r="C377" s="73">
        <v>0.306676388435904</v>
      </c>
      <c r="D377" s="75">
        <v>0.17132753314893451</v>
      </c>
      <c r="E377">
        <v>2.4453116052612741E-2</v>
      </c>
      <c r="F377" s="77">
        <v>0.42130326762848902</v>
      </c>
      <c r="G377" s="79">
        <v>0</v>
      </c>
      <c r="H377" s="58">
        <f t="shared" si="30"/>
        <v>0.12280812652687501</v>
      </c>
      <c r="I377" cm="1">
        <f t="array" ref="I377">SQRT(MMULT(B377:F377,MMULT($M$273:$Q$277,TRANSPOSE(B377:F377))))</f>
        <v>0.70118431004327375</v>
      </c>
      <c r="J377">
        <f t="shared" si="31"/>
        <v>5.7095921082211802</v>
      </c>
    </row>
    <row r="378" spans="1:10" x14ac:dyDescent="0.35">
      <c r="A378" s="2" t="s">
        <v>123</v>
      </c>
      <c r="B378" s="71">
        <v>0.2004405899946694</v>
      </c>
      <c r="C378" s="73">
        <v>0.15441900510119061</v>
      </c>
      <c r="D378" s="75">
        <v>0.23024333775177139</v>
      </c>
      <c r="E378">
        <v>0.19973176518167909</v>
      </c>
      <c r="F378" s="77">
        <v>0.21516530197068939</v>
      </c>
      <c r="G378" s="79">
        <v>0</v>
      </c>
      <c r="H378" s="58">
        <f t="shared" si="30"/>
        <v>0.11923623981048181</v>
      </c>
      <c r="I378" cm="1">
        <f t="array" ref="I378">SQRT(MMULT(B378:F378,MMULT($M$273:$Q$277,TRANSPOSE(B378:F378))))</f>
        <v>0.63852429526166365</v>
      </c>
      <c r="J378">
        <f t="shared" si="31"/>
        <v>5.3551193519399485</v>
      </c>
    </row>
    <row r="379" spans="1:10" x14ac:dyDescent="0.35">
      <c r="A379" s="2" t="s">
        <v>124</v>
      </c>
      <c r="B379" s="71">
        <v>0.52452391357342276</v>
      </c>
      <c r="C379" s="73">
        <v>5.5807461841249112E-4</v>
      </c>
      <c r="D379" s="75">
        <v>0.33423993087091691</v>
      </c>
      <c r="E379">
        <v>6.4447352016171799E-2</v>
      </c>
      <c r="F379" s="77">
        <v>7.6230728921076019E-2</v>
      </c>
      <c r="G379" s="79">
        <v>0</v>
      </c>
      <c r="H379" s="58">
        <f t="shared" si="30"/>
        <v>5.4067625707668564E-3</v>
      </c>
      <c r="I379" cm="1">
        <f t="array" ref="I379">SQRT(MMULT(B379:F379,MMULT($M$273:$Q$277,TRANSPOSE(B379:F379))))</f>
        <v>0.66047886984043735</v>
      </c>
      <c r="J379">
        <f t="shared" si="31"/>
        <v>122.15792004840334</v>
      </c>
    </row>
    <row r="380" spans="1:10" x14ac:dyDescent="0.35">
      <c r="A380" s="2" t="s">
        <v>125</v>
      </c>
      <c r="B380" s="71">
        <v>0.26237332160985011</v>
      </c>
      <c r="C380" s="73">
        <v>0.3698055031502987</v>
      </c>
      <c r="D380" s="75">
        <v>5.8152904642600832E-2</v>
      </c>
      <c r="E380">
        <v>4.400851153053649E-2</v>
      </c>
      <c r="F380" s="77">
        <v>0.26565975906671391</v>
      </c>
      <c r="G380" s="79">
        <v>0</v>
      </c>
      <c r="H380" s="58">
        <f t="shared" si="30"/>
        <v>0.10931168532918045</v>
      </c>
      <c r="I380" cm="1">
        <f t="array" ref="I380">SQRT(MMULT(B380:F380,MMULT($M$273:$Q$277,TRANSPOSE(B380:F380))))</f>
        <v>0.69184311153276012</v>
      </c>
      <c r="J380">
        <f t="shared" si="31"/>
        <v>6.3290864965565996</v>
      </c>
    </row>
    <row r="381" spans="1:10" x14ac:dyDescent="0.35">
      <c r="A381" s="2" t="s">
        <v>126</v>
      </c>
      <c r="B381" s="71">
        <v>8.831443450810704E-2</v>
      </c>
      <c r="C381" s="73">
        <v>0.24552214720895171</v>
      </c>
      <c r="D381" s="75">
        <v>0.32306509470149752</v>
      </c>
      <c r="E381">
        <v>9.218698947305061E-2</v>
      </c>
      <c r="F381" s="77">
        <v>0.25091133410839322</v>
      </c>
      <c r="G381" s="79">
        <v>0</v>
      </c>
      <c r="H381" s="58">
        <f t="shared" si="30"/>
        <v>9.480267369386397E-2</v>
      </c>
      <c r="I381" cm="1">
        <f t="array" ref="I381">SQRT(MMULT(B381:F381,MMULT($M$273:$Q$277,TRANSPOSE(B381:F381))))</f>
        <v>0.65552220835449593</v>
      </c>
      <c r="J381">
        <f t="shared" si="31"/>
        <v>6.9145962114033086</v>
      </c>
    </row>
    <row r="382" spans="1:10" x14ac:dyDescent="0.35">
      <c r="A382" s="2" t="s">
        <v>127</v>
      </c>
      <c r="B382" s="71">
        <v>0.17893027875377621</v>
      </c>
      <c r="C382" s="73">
        <v>0.1900369607740087</v>
      </c>
      <c r="D382" s="75">
        <v>7.7807913757404715E-2</v>
      </c>
      <c r="E382">
        <v>0.30534801229486902</v>
      </c>
      <c r="F382" s="77">
        <v>0.24787683441994141</v>
      </c>
      <c r="G382" s="79">
        <v>0</v>
      </c>
      <c r="H382" s="58">
        <f t="shared" si="30"/>
        <v>0.18066761151232341</v>
      </c>
      <c r="I382" cm="1">
        <f t="array" ref="I382">SQRT(MMULT(B382:F382,MMULT($M$273:$Q$277,TRANSPOSE(B382:F382))))</f>
        <v>0.69305842502728343</v>
      </c>
      <c r="J382">
        <f t="shared" si="31"/>
        <v>3.8360966817785691</v>
      </c>
    </row>
    <row r="383" spans="1:10" x14ac:dyDescent="0.35">
      <c r="A383" s="2" t="s">
        <v>128</v>
      </c>
      <c r="B383" s="71">
        <v>0.26995716520380603</v>
      </c>
      <c r="C383" s="73">
        <v>0.219242767198116</v>
      </c>
      <c r="D383" s="75">
        <v>2.7194821287766228E-2</v>
      </c>
      <c r="E383">
        <v>0.21561219599865339</v>
      </c>
      <c r="F383" s="77">
        <v>0.26799305031165849</v>
      </c>
      <c r="G383" s="79">
        <v>0</v>
      </c>
      <c r="H383" s="58">
        <f t="shared" si="30"/>
        <v>0.15621673603844377</v>
      </c>
      <c r="I383" cm="1">
        <f t="array" ref="I383">SQRT(MMULT(B383:F383,MMULT($M$273:$Q$277,TRANSPOSE(B383:F383))))</f>
        <v>0.68679198613356274</v>
      </c>
      <c r="J383">
        <f t="shared" si="31"/>
        <v>4.3964046590024024</v>
      </c>
    </row>
    <row r="384" spans="1:10" x14ac:dyDescent="0.35">
      <c r="A384" s="2" t="s">
        <v>129</v>
      </c>
      <c r="B384" s="71">
        <v>0.34241882842374349</v>
      </c>
      <c r="C384" s="73">
        <v>0.12757060471422341</v>
      </c>
      <c r="D384" s="75">
        <v>0.1995926128414561</v>
      </c>
      <c r="E384">
        <v>0.23433245440999159</v>
      </c>
      <c r="F384" s="77">
        <v>9.6085499610585517E-2</v>
      </c>
      <c r="G384" s="79">
        <v>0</v>
      </c>
      <c r="H384" s="58">
        <f t="shared" si="30"/>
        <v>0.10279133904772529</v>
      </c>
      <c r="I384" cm="1">
        <f t="array" ref="I384">SQRT(MMULT(B384:F384,MMULT($M$273:$Q$277,TRANSPOSE(B384:F384))))</f>
        <v>0.63946755529257859</v>
      </c>
      <c r="J384">
        <f t="shared" si="31"/>
        <v>6.2210256352014088</v>
      </c>
    </row>
    <row r="385" spans="1:10" x14ac:dyDescent="0.35">
      <c r="A385" s="2" t="s">
        <v>130</v>
      </c>
      <c r="B385" s="71">
        <v>3.5370373814364031E-2</v>
      </c>
      <c r="C385" s="73">
        <v>0.19814674100965241</v>
      </c>
      <c r="D385" s="75">
        <v>0.36418031056557482</v>
      </c>
      <c r="E385">
        <v>0.28387830652702778</v>
      </c>
      <c r="F385" s="77">
        <v>0.1184242680833809</v>
      </c>
      <c r="G385" s="79">
        <v>0</v>
      </c>
      <c r="H385" s="58">
        <f t="shared" si="30"/>
        <v>0.13159577773816272</v>
      </c>
      <c r="I385" cm="1">
        <f t="array" ref="I385">SQRT(MMULT(B385:F385,MMULT($M$273:$Q$277,TRANSPOSE(B385:F385))))</f>
        <v>0.70347027104030602</v>
      </c>
      <c r="J385">
        <f t="shared" si="31"/>
        <v>5.3456902883313404</v>
      </c>
    </row>
    <row r="386" spans="1:10" x14ac:dyDescent="0.35">
      <c r="A386" s="2" t="s">
        <v>131</v>
      </c>
      <c r="B386" s="71">
        <v>0.16162070678379981</v>
      </c>
      <c r="C386" s="73">
        <v>5.3628859949935513E-2</v>
      </c>
      <c r="D386" s="75">
        <v>0.1519263420391809</v>
      </c>
      <c r="E386">
        <v>0.26560142154080041</v>
      </c>
      <c r="F386" s="77">
        <v>0.36722266968628348</v>
      </c>
      <c r="G386" s="79">
        <v>0</v>
      </c>
      <c r="H386" s="58">
        <f t="shared" si="30"/>
        <v>0.16813863348210512</v>
      </c>
      <c r="I386" cm="1">
        <f t="array" ref="I386">SQRT(MMULT(B386:F386,MMULT($M$273:$Q$277,TRANSPOSE(B386:F386))))</f>
        <v>0.70817649555607254</v>
      </c>
      <c r="J386">
        <f t="shared" si="31"/>
        <v>4.2118606586120695</v>
      </c>
    </row>
    <row r="387" spans="1:10" x14ac:dyDescent="0.35">
      <c r="A387" s="2" t="s">
        <v>132</v>
      </c>
      <c r="B387" s="71">
        <v>0.15408823013399589</v>
      </c>
      <c r="C387" s="73">
        <v>0.30589468578483447</v>
      </c>
      <c r="D387" s="75">
        <v>2.7974044151089211E-2</v>
      </c>
      <c r="E387">
        <v>3.3759963813618947E-2</v>
      </c>
      <c r="F387" s="77">
        <v>0.47828307611646143</v>
      </c>
      <c r="G387" s="79">
        <v>0</v>
      </c>
      <c r="H387" s="58">
        <f t="shared" si="30"/>
        <v>0.14550748751184212</v>
      </c>
      <c r="I387" cm="1">
        <f t="array" ref="I387">SQRT(MMULT(B387:F387,MMULT($M$273:$Q$277,TRANSPOSE(B387:F387))))</f>
        <v>0.7423860195791856</v>
      </c>
      <c r="J387">
        <f t="shared" si="31"/>
        <v>5.1020468587141714</v>
      </c>
    </row>
    <row r="388" spans="1:10" x14ac:dyDescent="0.35">
      <c r="A388" s="2" t="s">
        <v>133</v>
      </c>
      <c r="B388" s="71">
        <v>0.30886515886494631</v>
      </c>
      <c r="C388" s="73">
        <v>7.1868431466796029E-2</v>
      </c>
      <c r="D388" s="75">
        <v>0.1752643558076338</v>
      </c>
      <c r="E388">
        <v>0.2317613812402298</v>
      </c>
      <c r="F388" s="77">
        <v>0.2122406726203942</v>
      </c>
      <c r="G388" s="79">
        <v>0</v>
      </c>
      <c r="H388" s="58">
        <f t="shared" si="30"/>
        <v>0.12089524995098558</v>
      </c>
      <c r="I388" cm="1">
        <f t="array" ref="I388">SQRT(MMULT(B388:F388,MMULT($M$273:$Q$277,TRANSPOSE(B388:F388))))</f>
        <v>0.6464732849471102</v>
      </c>
      <c r="J388">
        <f t="shared" si="31"/>
        <v>5.3473836665146823</v>
      </c>
    </row>
    <row r="389" spans="1:10" x14ac:dyDescent="0.35">
      <c r="A389" s="2" t="s">
        <v>134</v>
      </c>
      <c r="B389" s="71">
        <v>0.31872951608273342</v>
      </c>
      <c r="C389" s="73">
        <v>0.13378120563690871</v>
      </c>
      <c r="D389" s="75">
        <v>1.33695142872731E-2</v>
      </c>
      <c r="E389">
        <v>0.113448782791775</v>
      </c>
      <c r="F389" s="77">
        <v>0.42067098120130991</v>
      </c>
      <c r="G389" s="79">
        <v>0</v>
      </c>
      <c r="H389" s="58">
        <f t="shared" si="30"/>
        <v>0.1380619139275627</v>
      </c>
      <c r="I389" cm="1">
        <f t="array" ref="I389">SQRT(MMULT(B389:F389,MMULT($M$273:$Q$277,TRANSPOSE(B389:F389))))</f>
        <v>0.70603655402359911</v>
      </c>
      <c r="J389">
        <f t="shared" si="31"/>
        <v>5.1139125479169953</v>
      </c>
    </row>
    <row r="390" spans="1:10" x14ac:dyDescent="0.35">
      <c r="A390" s="2" t="s">
        <v>135</v>
      </c>
      <c r="B390" s="71">
        <v>0.22220280697321401</v>
      </c>
      <c r="C390" s="73">
        <v>0.20894939171338131</v>
      </c>
      <c r="D390" s="75">
        <v>0.29727067817062852</v>
      </c>
      <c r="E390">
        <v>0.1134394051470341</v>
      </c>
      <c r="F390" s="77">
        <v>0.15813771799574219</v>
      </c>
      <c r="G390" s="79">
        <v>0</v>
      </c>
      <c r="H390" s="58">
        <f t="shared" si="30"/>
        <v>7.738877156879484E-2</v>
      </c>
      <c r="I390" cm="1">
        <f t="array" ref="I390">SQRT(MMULT(B390:F390,MMULT($M$273:$Q$277,TRANSPOSE(B390:F390))))</f>
        <v>0.62334356784468092</v>
      </c>
      <c r="J390">
        <f t="shared" si="31"/>
        <v>8.0547029654109306</v>
      </c>
    </row>
    <row r="391" spans="1:10" x14ac:dyDescent="0.35">
      <c r="A391" s="2" t="s">
        <v>136</v>
      </c>
      <c r="B391" s="71">
        <v>0.26413980308333662</v>
      </c>
      <c r="C391" s="73">
        <v>0.1212949663180457</v>
      </c>
      <c r="D391" s="75">
        <v>0.29988017167890929</v>
      </c>
      <c r="E391">
        <v>0.1027614556560139</v>
      </c>
      <c r="F391" s="77">
        <v>0.21192360326369461</v>
      </c>
      <c r="G391" s="79">
        <v>0</v>
      </c>
      <c r="H391" s="58">
        <f t="shared" si="30"/>
        <v>7.1880146929873739E-2</v>
      </c>
      <c r="I391" cm="1">
        <f t="array" ref="I391">SQRT(MMULT(B391:F391,MMULT($M$273:$Q$277,TRANSPOSE(B391:F391))))</f>
        <v>0.61092457272722311</v>
      </c>
      <c r="J391">
        <f t="shared" si="31"/>
        <v>8.4992115183520838</v>
      </c>
    </row>
    <row r="392" spans="1:10" x14ac:dyDescent="0.35">
      <c r="A392" s="2" t="s">
        <v>137</v>
      </c>
      <c r="B392" s="71">
        <v>7.0793659758904962E-2</v>
      </c>
      <c r="C392" s="73">
        <v>0.1208397739546421</v>
      </c>
      <c r="D392" s="75">
        <v>0.33374491575769888</v>
      </c>
      <c r="E392">
        <v>0.1938797708907648</v>
      </c>
      <c r="F392" s="77">
        <v>0.28074187963798919</v>
      </c>
      <c r="G392" s="79">
        <v>0</v>
      </c>
      <c r="H392" s="58">
        <f t="shared" si="30"/>
        <v>0.12245051705434362</v>
      </c>
      <c r="I392" cm="1">
        <f t="array" ref="I392">SQRT(MMULT(B392:F392,MMULT($M$273:$Q$277,TRANSPOSE(B392:F392))))</f>
        <v>0.67919866922714378</v>
      </c>
      <c r="J392">
        <f t="shared" si="31"/>
        <v>5.5467194877234771</v>
      </c>
    </row>
    <row r="393" spans="1:10" x14ac:dyDescent="0.35">
      <c r="A393" s="2" t="s">
        <v>138</v>
      </c>
      <c r="B393" s="71">
        <v>0.3810545226878061</v>
      </c>
      <c r="C393" s="73">
        <v>0.2409913733764508</v>
      </c>
      <c r="D393" s="75">
        <v>0.13577015006300669</v>
      </c>
      <c r="E393">
        <v>0.1203224250551751</v>
      </c>
      <c r="F393" s="77">
        <v>0.12186152881756129</v>
      </c>
      <c r="G393" s="79">
        <v>0</v>
      </c>
      <c r="H393" s="58">
        <f t="shared" si="30"/>
        <v>8.3517706539066622E-2</v>
      </c>
      <c r="I393" cm="1">
        <f t="array" ref="I393">SQRT(MMULT(B393:F393,MMULT($M$273:$Q$277,TRANSPOSE(B393:F393))))</f>
        <v>0.64827879746090156</v>
      </c>
      <c r="J393">
        <f t="shared" si="31"/>
        <v>7.7621719312617827</v>
      </c>
    </row>
    <row r="394" spans="1:10" x14ac:dyDescent="0.35">
      <c r="A394" s="2" t="s">
        <v>139</v>
      </c>
      <c r="B394" s="71">
        <v>4.6598805368763173E-2</v>
      </c>
      <c r="C394" s="73">
        <v>0.1532595304774742</v>
      </c>
      <c r="D394" s="75">
        <v>0.39741657851703388</v>
      </c>
      <c r="E394">
        <v>0.3513463485159159</v>
      </c>
      <c r="F394" s="77">
        <v>5.137873712081284E-2</v>
      </c>
      <c r="G394" s="79">
        <v>0</v>
      </c>
      <c r="H394" s="58">
        <f t="shared" si="30"/>
        <v>0.13471795394685621</v>
      </c>
      <c r="I394" cm="1">
        <f t="array" ref="I394">SQRT(MMULT(B394:F394,MMULT($M$273:$Q$277,TRANSPOSE(B394:F394))))</f>
        <v>0.72553559454223904</v>
      </c>
      <c r="J394">
        <f t="shared" si="31"/>
        <v>5.3855894725691105</v>
      </c>
    </row>
    <row r="395" spans="1:10" x14ac:dyDescent="0.35">
      <c r="A395" s="2" t="s">
        <v>140</v>
      </c>
      <c r="B395" s="71">
        <v>0.16685946457873241</v>
      </c>
      <c r="C395" s="73">
        <v>0.1328759825032397</v>
      </c>
      <c r="D395" s="75">
        <v>0.28574885352965418</v>
      </c>
      <c r="E395">
        <v>0.20094469857943581</v>
      </c>
      <c r="F395" s="77">
        <v>0.2135710008089379</v>
      </c>
      <c r="G395" s="79">
        <v>0</v>
      </c>
      <c r="H395" s="58">
        <f t="shared" si="30"/>
        <v>0.11369953382367398</v>
      </c>
      <c r="I395" cm="1">
        <f t="array" ref="I395">SQRT(MMULT(B395:F395,MMULT($M$273:$Q$277,TRANSPOSE(B395:F395))))</f>
        <v>0.64399882247067197</v>
      </c>
      <c r="J395">
        <f t="shared" si="31"/>
        <v>5.6640410106640351</v>
      </c>
    </row>
    <row r="396" spans="1:10" x14ac:dyDescent="0.35">
      <c r="A396" s="2" t="s">
        <v>141</v>
      </c>
      <c r="B396" s="71">
        <v>7.732126304314528E-2</v>
      </c>
      <c r="C396" s="73">
        <v>0.27734187438305868</v>
      </c>
      <c r="D396" s="75">
        <v>0.23142915928528909</v>
      </c>
      <c r="E396">
        <v>0.29421690794629091</v>
      </c>
      <c r="F396" s="77">
        <v>0.11969079534221599</v>
      </c>
      <c r="G396" s="79">
        <v>0</v>
      </c>
      <c r="H396" s="58">
        <f t="shared" si="30"/>
        <v>0.15378465262884911</v>
      </c>
      <c r="I396" cm="1">
        <f t="array" ref="I396">SQRT(MMULT(B396:F396,MMULT($M$273:$Q$277,TRANSPOSE(B396:F396))))</f>
        <v>0.67803872317567981</v>
      </c>
      <c r="J396">
        <f t="shared" si="31"/>
        <v>4.4090142389701876</v>
      </c>
    </row>
    <row r="397" spans="1:10" x14ac:dyDescent="0.35">
      <c r="A397" s="2" t="s">
        <v>142</v>
      </c>
      <c r="B397" s="71">
        <v>0.14091907489217809</v>
      </c>
      <c r="C397" s="73">
        <v>0.17770009204192999</v>
      </c>
      <c r="D397" s="75">
        <v>0.25511096465784211</v>
      </c>
      <c r="E397">
        <v>0.280873788545353</v>
      </c>
      <c r="F397" s="77">
        <v>0.1453960798626967</v>
      </c>
      <c r="G397" s="79">
        <v>0</v>
      </c>
      <c r="H397" s="58">
        <f t="shared" si="30"/>
        <v>0.13803048986736299</v>
      </c>
      <c r="I397" cm="1">
        <f t="array" ref="I397">SQRT(MMULT(B397:F397,MMULT($M$273:$Q$277,TRANSPOSE(B397:F397))))</f>
        <v>0.66120521815889921</v>
      </c>
      <c r="J397">
        <f t="shared" si="31"/>
        <v>4.7902837901558426</v>
      </c>
    </row>
    <row r="398" spans="1:10" x14ac:dyDescent="0.35">
      <c r="A398" s="2" t="s">
        <v>143</v>
      </c>
      <c r="B398" s="71">
        <v>0.17393422482875259</v>
      </c>
      <c r="C398" s="73">
        <v>0.14842657835321671</v>
      </c>
      <c r="D398" s="75">
        <v>0.1942862983708368</v>
      </c>
      <c r="E398">
        <v>0.28482682333848608</v>
      </c>
      <c r="F398" s="77">
        <v>0.19852607510870779</v>
      </c>
      <c r="G398" s="79">
        <v>0</v>
      </c>
      <c r="H398" s="58">
        <f t="shared" si="30"/>
        <v>0.14985565681341376</v>
      </c>
      <c r="I398" cm="1">
        <f t="array" ref="I398">SQRT(MMULT(B398:F398,MMULT($M$273:$Q$277,TRANSPOSE(B398:F398))))</f>
        <v>0.66338213004535274</v>
      </c>
      <c r="J398">
        <f t="shared" si="31"/>
        <v>4.4268073968761428</v>
      </c>
    </row>
    <row r="399" spans="1:10" x14ac:dyDescent="0.35">
      <c r="A399" s="2" t="s">
        <v>144</v>
      </c>
      <c r="B399" s="71">
        <v>0.28235055099335538</v>
      </c>
      <c r="C399" s="73">
        <v>0.35314102137461811</v>
      </c>
      <c r="D399" s="75">
        <v>7.2434207827048888E-2</v>
      </c>
      <c r="E399">
        <v>0.22444660830417459</v>
      </c>
      <c r="F399" s="77">
        <v>6.7627611500803028E-2</v>
      </c>
      <c r="G399" s="79">
        <v>0</v>
      </c>
      <c r="H399" s="58">
        <f t="shared" si="30"/>
        <v>0.13242823705047654</v>
      </c>
      <c r="I399" cm="1">
        <f t="array" ref="I399">SQRT(MMULT(B399:F399,MMULT($M$273:$Q$277,TRANSPOSE(B399:F399))))</f>
        <v>0.66829169147798495</v>
      </c>
      <c r="J399">
        <f t="shared" si="31"/>
        <v>5.0464440693509944</v>
      </c>
    </row>
    <row r="400" spans="1:10" x14ac:dyDescent="0.35">
      <c r="A400" s="2" t="s">
        <v>145</v>
      </c>
      <c r="B400" s="71">
        <v>0.2083318595890854</v>
      </c>
      <c r="C400" s="73">
        <v>7.3484284250596832E-2</v>
      </c>
      <c r="D400" s="75">
        <v>0.13667009072551739</v>
      </c>
      <c r="E400">
        <v>0.26515220871860029</v>
      </c>
      <c r="F400" s="77">
        <v>0.31636155671619992</v>
      </c>
      <c r="G400" s="79">
        <v>0</v>
      </c>
      <c r="H400" s="58">
        <f t="shared" si="30"/>
        <v>0.15997477905212204</v>
      </c>
      <c r="I400" cm="1">
        <f t="array" ref="I400">SQRT(MMULT(B400:F400,MMULT($M$273:$Q$277,TRANSPOSE(B400:F400))))</f>
        <v>0.68715768625191187</v>
      </c>
      <c r="J400">
        <f t="shared" si="31"/>
        <v>4.2954126289371288</v>
      </c>
    </row>
    <row r="401" spans="1:10" x14ac:dyDescent="0.35">
      <c r="A401" s="2" t="s">
        <v>146</v>
      </c>
      <c r="B401" s="71">
        <v>0.2475226528160423</v>
      </c>
      <c r="C401" s="73">
        <v>0.2325290307526687</v>
      </c>
      <c r="D401" s="75">
        <v>5.9865728654148201E-2</v>
      </c>
      <c r="E401">
        <v>0.25859932812666631</v>
      </c>
      <c r="F401" s="77">
        <v>0.20148325965047451</v>
      </c>
      <c r="G401" s="79">
        <v>0</v>
      </c>
      <c r="H401" s="58">
        <f t="shared" si="30"/>
        <v>0.15871168123395976</v>
      </c>
      <c r="I401" cm="1">
        <f t="array" ref="I401">SQRT(MMULT(B401:F401,MMULT($M$273:$Q$277,TRANSPOSE(B401:F401))))</f>
        <v>0.6729104678881882</v>
      </c>
      <c r="J401">
        <f t="shared" si="31"/>
        <v>4.2398294987263014</v>
      </c>
    </row>
    <row r="402" spans="1:10" x14ac:dyDescent="0.35">
      <c r="A402" s="2" t="s">
        <v>147</v>
      </c>
      <c r="B402" s="71">
        <v>0.26119763131241752</v>
      </c>
      <c r="C402" s="73">
        <v>0.1030869887547585</v>
      </c>
      <c r="D402" s="75">
        <v>0.38953599866972682</v>
      </c>
      <c r="E402">
        <v>0.118672371208353</v>
      </c>
      <c r="F402" s="77">
        <v>0.12750701005474421</v>
      </c>
      <c r="G402" s="79">
        <v>0</v>
      </c>
      <c r="H402" s="58">
        <f t="shared" ref="H402:H465" si="32">B402*$B$253+C402*$D$253+D402*$F$253+E402*$H$253+F402*$J$253+G402*$L$253</f>
        <v>5.2239591331035062E-2</v>
      </c>
      <c r="I402" cm="1">
        <f t="array" ref="I402">SQRT(MMULT(B402:F402,MMULT($M$273:$Q$277,TRANSPOSE(B402:F402))))</f>
        <v>0.62696687342511792</v>
      </c>
      <c r="J402">
        <f t="shared" ref="J402:J465" si="33">I402/H402</f>
        <v>12.00175685625325</v>
      </c>
    </row>
    <row r="403" spans="1:10" x14ac:dyDescent="0.35">
      <c r="A403" s="2" t="s">
        <v>148</v>
      </c>
      <c r="B403" s="71">
        <v>0.11588146409479071</v>
      </c>
      <c r="C403" s="73">
        <v>0.54252993847798714</v>
      </c>
      <c r="D403" s="75">
        <v>0.17377092905411851</v>
      </c>
      <c r="E403">
        <v>0.1548315179052083</v>
      </c>
      <c r="F403" s="77">
        <v>1.298615046789544E-2</v>
      </c>
      <c r="G403" s="79">
        <v>0</v>
      </c>
      <c r="H403" s="58">
        <f t="shared" si="32"/>
        <v>0.117106337195669</v>
      </c>
      <c r="I403" cm="1">
        <f t="array" ref="I403">SQRT(MMULT(B403:F403,MMULT($M$273:$Q$277,TRANSPOSE(B403:F403))))</f>
        <v>0.71630589284779078</v>
      </c>
      <c r="J403">
        <f t="shared" si="33"/>
        <v>6.1167133222768264</v>
      </c>
    </row>
    <row r="404" spans="1:10" x14ac:dyDescent="0.35">
      <c r="A404" s="2" t="s">
        <v>149</v>
      </c>
      <c r="B404" s="71">
        <v>0.115732120398906</v>
      </c>
      <c r="C404" s="73">
        <v>6.718508378217565E-2</v>
      </c>
      <c r="D404" s="75">
        <v>0.26460450128143742</v>
      </c>
      <c r="E404">
        <v>0.22904250495831671</v>
      </c>
      <c r="F404" s="77">
        <v>0.32343578957916419</v>
      </c>
      <c r="G404" s="79">
        <v>0</v>
      </c>
      <c r="H404" s="58">
        <f t="shared" si="32"/>
        <v>0.14088641948119479</v>
      </c>
      <c r="I404" cm="1">
        <f t="array" ref="I404">SQRT(MMULT(B404:F404,MMULT($M$273:$Q$277,TRANSPOSE(B404:F404))))</f>
        <v>0.68382345898555552</v>
      </c>
      <c r="J404">
        <f t="shared" si="33"/>
        <v>4.8537216113780985</v>
      </c>
    </row>
    <row r="405" spans="1:10" x14ac:dyDescent="0.35">
      <c r="A405" s="2" t="s">
        <v>150</v>
      </c>
      <c r="B405" s="71">
        <v>0.20124358584846</v>
      </c>
      <c r="C405" s="73">
        <v>0.29045046770670629</v>
      </c>
      <c r="D405" s="75">
        <v>0.1582778410252155</v>
      </c>
      <c r="E405">
        <v>5.2618600873012969E-2</v>
      </c>
      <c r="F405" s="77">
        <v>0.29740950454660531</v>
      </c>
      <c r="G405" s="79">
        <v>0</v>
      </c>
      <c r="H405" s="58">
        <f t="shared" si="32"/>
        <v>0.10359426982486022</v>
      </c>
      <c r="I405" cm="1">
        <f t="array" ref="I405">SQRT(MMULT(B405:F405,MMULT($M$273:$Q$277,TRANSPOSE(B405:F405))))</f>
        <v>0.65287724081632936</v>
      </c>
      <c r="J405">
        <f t="shared" si="33"/>
        <v>6.3022524500641248</v>
      </c>
    </row>
    <row r="406" spans="1:10" x14ac:dyDescent="0.35">
      <c r="A406" s="2" t="s">
        <v>151</v>
      </c>
      <c r="B406" s="71">
        <v>0.11541185074118029</v>
      </c>
      <c r="C406" s="73">
        <v>0.26584826003671003</v>
      </c>
      <c r="D406" s="75">
        <v>0.2358629369971337</v>
      </c>
      <c r="E406">
        <v>0.14636502104429919</v>
      </c>
      <c r="F406" s="77">
        <v>0.2365119311806767</v>
      </c>
      <c r="G406" s="79">
        <v>0</v>
      </c>
      <c r="H406" s="58">
        <f t="shared" si="32"/>
        <v>0.11984631667767209</v>
      </c>
      <c r="I406" cm="1">
        <f t="array" ref="I406">SQRT(MMULT(B406:F406,MMULT($M$273:$Q$277,TRANSPOSE(B406:F406))))</f>
        <v>0.65583335124381015</v>
      </c>
      <c r="J406">
        <f t="shared" si="33"/>
        <v>5.4722862531326744</v>
      </c>
    </row>
    <row r="407" spans="1:10" x14ac:dyDescent="0.35">
      <c r="A407" s="2" t="s">
        <v>152</v>
      </c>
      <c r="B407" s="71">
        <v>3.73454792885606E-2</v>
      </c>
      <c r="C407" s="73">
        <v>0.27134502716404341</v>
      </c>
      <c r="D407" s="75">
        <v>0.27993744222578132</v>
      </c>
      <c r="E407">
        <v>0.27535412227524991</v>
      </c>
      <c r="F407" s="77">
        <v>0.13601792904636481</v>
      </c>
      <c r="G407" s="79">
        <v>0</v>
      </c>
      <c r="H407" s="58">
        <f t="shared" si="32"/>
        <v>0.14706870057963267</v>
      </c>
      <c r="I407" cm="1">
        <f t="array" ref="I407">SQRT(MMULT(B407:F407,MMULT($M$273:$Q$277,TRANSPOSE(B407:F407))))</f>
        <v>0.69100623750341805</v>
      </c>
      <c r="J407">
        <f t="shared" si="33"/>
        <v>4.6985268434411838</v>
      </c>
    </row>
    <row r="408" spans="1:10" x14ac:dyDescent="0.35">
      <c r="A408" s="2" t="s">
        <v>153</v>
      </c>
      <c r="B408" s="71">
        <v>0.1765198417385512</v>
      </c>
      <c r="C408" s="73">
        <v>0.1698174410448143</v>
      </c>
      <c r="D408" s="75">
        <v>0.3132153470522232</v>
      </c>
      <c r="E408">
        <v>4.9199963879763352E-2</v>
      </c>
      <c r="F408" s="77">
        <v>0.29124740628464801</v>
      </c>
      <c r="G408" s="79">
        <v>0</v>
      </c>
      <c r="H408" s="58">
        <f t="shared" si="32"/>
        <v>7.5714844212320456E-2</v>
      </c>
      <c r="I408" cm="1">
        <f t="array" ref="I408">SQRT(MMULT(B408:F408,MMULT($M$273:$Q$277,TRANSPOSE(B408:F408))))</f>
        <v>0.61994158352191331</v>
      </c>
      <c r="J408">
        <f t="shared" si="33"/>
        <v>8.1878473101452318</v>
      </c>
    </row>
    <row r="409" spans="1:10" x14ac:dyDescent="0.35">
      <c r="A409" s="2" t="s">
        <v>154</v>
      </c>
      <c r="B409" s="71">
        <v>0.22000345077916469</v>
      </c>
      <c r="C409" s="73">
        <v>0.30098633865057223</v>
      </c>
      <c r="D409" s="75">
        <v>5.2811051792092112E-3</v>
      </c>
      <c r="E409">
        <v>0.28791662612335728</v>
      </c>
      <c r="F409" s="77">
        <v>0.18581247926769659</v>
      </c>
      <c r="G409" s="79">
        <v>0</v>
      </c>
      <c r="H409" s="58">
        <f t="shared" si="32"/>
        <v>0.17961945688239608</v>
      </c>
      <c r="I409" cm="1">
        <f t="array" ref="I409">SQRT(MMULT(B409:F409,MMULT($M$273:$Q$277,TRANSPOSE(B409:F409))))</f>
        <v>0.69558029833474933</v>
      </c>
      <c r="J409">
        <f t="shared" si="33"/>
        <v>3.8725219996081663</v>
      </c>
    </row>
    <row r="410" spans="1:10" x14ac:dyDescent="0.35">
      <c r="A410" s="2" t="s">
        <v>155</v>
      </c>
      <c r="B410" s="71">
        <v>8.0665513263708868E-2</v>
      </c>
      <c r="C410" s="73">
        <v>0.1590584774799258</v>
      </c>
      <c r="D410" s="75">
        <v>0.2347613687230776</v>
      </c>
      <c r="E410">
        <v>0.3865230769064959</v>
      </c>
      <c r="F410" s="77">
        <v>0.13899156362679199</v>
      </c>
      <c r="G410" s="79">
        <v>0</v>
      </c>
      <c r="H410" s="58">
        <f t="shared" si="32"/>
        <v>0.17657360783142706</v>
      </c>
      <c r="I410" cm="1">
        <f t="array" ref="I410">SQRT(MMULT(B410:F410,MMULT($M$273:$Q$277,TRANSPOSE(B410:F410))))</f>
        <v>0.70455571094701352</v>
      </c>
      <c r="J410">
        <f t="shared" si="33"/>
        <v>3.9901529996467273</v>
      </c>
    </row>
    <row r="411" spans="1:10" x14ac:dyDescent="0.35">
      <c r="A411" s="2" t="s">
        <v>156</v>
      </c>
      <c r="B411" s="71">
        <v>0.1582747322635063</v>
      </c>
      <c r="C411" s="73">
        <v>0.1178886446961781</v>
      </c>
      <c r="D411" s="75">
        <v>0.34392279701384942</v>
      </c>
      <c r="E411">
        <v>3.6799108727948913E-2</v>
      </c>
      <c r="F411" s="77">
        <v>0.34311471729851722</v>
      </c>
      <c r="G411" s="79">
        <v>0</v>
      </c>
      <c r="H411" s="58">
        <f t="shared" si="32"/>
        <v>7.3405025403463872E-2</v>
      </c>
      <c r="I411" cm="1">
        <f t="array" ref="I411">SQRT(MMULT(B411:F411,MMULT($M$273:$Q$277,TRANSPOSE(B411:F411))))</f>
        <v>0.62174755884539568</v>
      </c>
      <c r="J411">
        <f t="shared" si="33"/>
        <v>8.470095275194284</v>
      </c>
    </row>
    <row r="412" spans="1:10" x14ac:dyDescent="0.35">
      <c r="A412" s="2" t="s">
        <v>157</v>
      </c>
      <c r="B412" s="71">
        <v>0.26140439256510623</v>
      </c>
      <c r="C412" s="73">
        <v>0.19976004117563201</v>
      </c>
      <c r="D412" s="75">
        <v>0.12813767005730459</v>
      </c>
      <c r="E412">
        <v>0.18836643151271651</v>
      </c>
      <c r="F412" s="77">
        <v>0.22233146468924081</v>
      </c>
      <c r="G412" s="79">
        <v>0</v>
      </c>
      <c r="H412" s="58">
        <f t="shared" si="32"/>
        <v>0.12764028669940242</v>
      </c>
      <c r="I412" cm="1">
        <f t="array" ref="I412">SQRT(MMULT(B412:F412,MMULT($M$273:$Q$277,TRANSPOSE(B412:F412))))</f>
        <v>0.64663747803362126</v>
      </c>
      <c r="J412">
        <f t="shared" si="33"/>
        <v>5.0660923345971192</v>
      </c>
    </row>
    <row r="413" spans="1:10" x14ac:dyDescent="0.35">
      <c r="A413" s="2" t="s">
        <v>158</v>
      </c>
      <c r="B413" s="71">
        <v>0.26201669365477043</v>
      </c>
      <c r="C413" s="73">
        <v>0.26278772330878991</v>
      </c>
      <c r="D413" s="75">
        <v>0.17643322949567289</v>
      </c>
      <c r="E413">
        <v>1.549827164832596E-2</v>
      </c>
      <c r="F413" s="77">
        <v>0.28326408189244079</v>
      </c>
      <c r="G413" s="79">
        <v>0</v>
      </c>
      <c r="H413" s="58">
        <f t="shared" si="32"/>
        <v>8.0549402762093172E-2</v>
      </c>
      <c r="I413" cm="1">
        <f t="array" ref="I413">SQRT(MMULT(B413:F413,MMULT($M$273:$Q$277,TRANSPOSE(B413:F413))))</f>
        <v>0.63580028479758677</v>
      </c>
      <c r="J413">
        <f t="shared" si="33"/>
        <v>7.8932960766382809</v>
      </c>
    </row>
    <row r="414" spans="1:10" x14ac:dyDescent="0.35">
      <c r="A414" s="2" t="s">
        <v>159</v>
      </c>
      <c r="B414" s="71">
        <v>0.42566063628249368</v>
      </c>
      <c r="C414" s="73">
        <v>5.8147792060399127E-2</v>
      </c>
      <c r="D414" s="75">
        <v>0.20105025159575071</v>
      </c>
      <c r="E414">
        <v>4.67792660558927E-2</v>
      </c>
      <c r="F414" s="77">
        <v>0.2683620540054637</v>
      </c>
      <c r="G414" s="79">
        <v>0</v>
      </c>
      <c r="H414" s="58">
        <f t="shared" si="32"/>
        <v>5.699703916287005E-2</v>
      </c>
      <c r="I414" cm="1">
        <f t="array" ref="I414">SQRT(MMULT(B414:F414,MMULT($M$273:$Q$277,TRANSPOSE(B414:F414))))</f>
        <v>0.61939761139320537</v>
      </c>
      <c r="J414">
        <f t="shared" si="33"/>
        <v>10.867189252116512</v>
      </c>
    </row>
    <row r="415" spans="1:10" x14ac:dyDescent="0.35">
      <c r="A415" s="2" t="s">
        <v>160</v>
      </c>
      <c r="B415" s="71">
        <v>0.18194712764161339</v>
      </c>
      <c r="C415" s="73">
        <v>0.13508464419574651</v>
      </c>
      <c r="D415" s="75">
        <v>0.1994010846339157</v>
      </c>
      <c r="E415">
        <v>0.24063572082432849</v>
      </c>
      <c r="F415" s="77">
        <v>0.24293142270439591</v>
      </c>
      <c r="G415" s="79">
        <v>0</v>
      </c>
      <c r="H415" s="58">
        <f t="shared" si="32"/>
        <v>0.14020612974330524</v>
      </c>
      <c r="I415" cm="1">
        <f t="array" ref="I415">SQRT(MMULT(B415:F415,MMULT($M$273:$Q$277,TRANSPOSE(B415:F415))))</f>
        <v>0.65708010951243179</v>
      </c>
      <c r="J415">
        <f t="shared" si="33"/>
        <v>4.6865291176315846</v>
      </c>
    </row>
    <row r="416" spans="1:10" x14ac:dyDescent="0.35">
      <c r="A416" s="2" t="s">
        <v>161</v>
      </c>
      <c r="B416" s="71">
        <v>0.34089544547642442</v>
      </c>
      <c r="C416" s="73">
        <v>0.1132124265592616</v>
      </c>
      <c r="D416" s="75">
        <v>0.43421846989709278</v>
      </c>
      <c r="E416">
        <v>2.8315194854365691E-2</v>
      </c>
      <c r="F416" s="77">
        <v>8.3358463212855602E-2</v>
      </c>
      <c r="G416" s="79">
        <v>0</v>
      </c>
      <c r="H416" s="58">
        <f t="shared" si="32"/>
        <v>5.8296411336277477E-3</v>
      </c>
      <c r="I416" cm="1">
        <f t="array" ref="I416">SQRT(MMULT(B416:F416,MMULT($M$273:$Q$277,TRANSPOSE(B416:F416))))</f>
        <v>0.63460916698571113</v>
      </c>
      <c r="J416">
        <f t="shared" si="33"/>
        <v>108.85904508341459</v>
      </c>
    </row>
    <row r="417" spans="1:10" x14ac:dyDescent="0.35">
      <c r="A417" s="2" t="s">
        <v>162</v>
      </c>
      <c r="B417" s="71">
        <v>0.25140447061793231</v>
      </c>
      <c r="C417" s="73">
        <v>0.13883845295049491</v>
      </c>
      <c r="D417" s="75">
        <v>0.29477459973955411</v>
      </c>
      <c r="E417">
        <v>0.22471949525326021</v>
      </c>
      <c r="F417" s="77">
        <v>9.0262981438758494E-2</v>
      </c>
      <c r="G417" s="79">
        <v>0</v>
      </c>
      <c r="H417" s="58">
        <f t="shared" si="32"/>
        <v>9.536529951431881E-2</v>
      </c>
      <c r="I417" cm="1">
        <f t="array" ref="I417">SQRT(MMULT(B417:F417,MMULT($M$273:$Q$277,TRANSPOSE(B417:F417))))</f>
        <v>0.63677044105398262</v>
      </c>
      <c r="J417">
        <f t="shared" si="33"/>
        <v>6.6771713012695297</v>
      </c>
    </row>
    <row r="418" spans="1:10" x14ac:dyDescent="0.35">
      <c r="A418" s="2" t="s">
        <v>163</v>
      </c>
      <c r="B418" s="71">
        <v>0.35286891875754772</v>
      </c>
      <c r="C418" s="73">
        <v>0.1595747848161459</v>
      </c>
      <c r="D418" s="75">
        <v>0.1104251812592643</v>
      </c>
      <c r="E418">
        <v>0.22649855132500599</v>
      </c>
      <c r="F418" s="77">
        <v>0.1506325638420361</v>
      </c>
      <c r="G418" s="79">
        <v>0</v>
      </c>
      <c r="H418" s="58">
        <f t="shared" si="32"/>
        <v>0.12088789941918948</v>
      </c>
      <c r="I418" cm="1">
        <f t="array" ref="I418">SQRT(MMULT(B418:F418,MMULT($M$273:$Q$277,TRANSPOSE(B418:F418))))</f>
        <v>0.65210520410005079</v>
      </c>
      <c r="J418">
        <f t="shared" si="33"/>
        <v>5.3942967595029367</v>
      </c>
    </row>
    <row r="419" spans="1:10" x14ac:dyDescent="0.35">
      <c r="A419" s="2" t="s">
        <v>164</v>
      </c>
      <c r="B419" s="71">
        <v>1.8895136118981599E-2</v>
      </c>
      <c r="C419" s="73">
        <v>0.28102590528472438</v>
      </c>
      <c r="D419" s="75">
        <v>0.23227070631828051</v>
      </c>
      <c r="E419">
        <v>0.2752970014482139</v>
      </c>
      <c r="F419" s="77">
        <v>0.1925112508297997</v>
      </c>
      <c r="G419" s="79">
        <v>0</v>
      </c>
      <c r="H419" s="58">
        <f t="shared" si="32"/>
        <v>0.16352182729679016</v>
      </c>
      <c r="I419" cm="1">
        <f t="array" ref="I419">SQRT(MMULT(B419:F419,MMULT($M$273:$Q$277,TRANSPOSE(B419:F419))))</f>
        <v>0.7021986041313093</v>
      </c>
      <c r="J419">
        <f t="shared" si="33"/>
        <v>4.294219406298752</v>
      </c>
    </row>
    <row r="420" spans="1:10" x14ac:dyDescent="0.35">
      <c r="A420" s="2" t="s">
        <v>165</v>
      </c>
      <c r="B420" s="71">
        <v>3.5110803410372558E-2</v>
      </c>
      <c r="C420" s="73">
        <v>0.20379434088941159</v>
      </c>
      <c r="D420" s="75">
        <v>0.1293898549974806</v>
      </c>
      <c r="E420">
        <v>0.44642451617290452</v>
      </c>
      <c r="F420" s="77">
        <v>0.18528048452983059</v>
      </c>
      <c r="G420" s="79">
        <v>0</v>
      </c>
      <c r="H420" s="58">
        <f t="shared" si="32"/>
        <v>0.22236433406732078</v>
      </c>
      <c r="I420" cm="1">
        <f t="array" ref="I420">SQRT(MMULT(B420:F420,MMULT($M$273:$Q$277,TRANSPOSE(B420:F420))))</f>
        <v>0.74393877688028598</v>
      </c>
      <c r="J420">
        <f t="shared" si="33"/>
        <v>3.3455849833141791</v>
      </c>
    </row>
    <row r="421" spans="1:10" x14ac:dyDescent="0.35">
      <c r="A421" s="2" t="s">
        <v>166</v>
      </c>
      <c r="B421" s="71">
        <v>0.25365501147349501</v>
      </c>
      <c r="C421" s="73">
        <v>0.34936610769393328</v>
      </c>
      <c r="D421" s="75">
        <v>0.212519583179682</v>
      </c>
      <c r="E421">
        <v>4.6870415361224098E-2</v>
      </c>
      <c r="F421" s="77">
        <v>0.1375888822916656</v>
      </c>
      <c r="G421" s="79">
        <v>0</v>
      </c>
      <c r="H421" s="58">
        <f t="shared" si="32"/>
        <v>7.1385557148450407E-2</v>
      </c>
      <c r="I421" cm="1">
        <f t="array" ref="I421">SQRT(MMULT(B421:F421,MMULT($M$273:$Q$277,TRANSPOSE(B421:F421))))</f>
        <v>0.6500950015590915</v>
      </c>
      <c r="J421">
        <f t="shared" si="33"/>
        <v>9.1068141445920396</v>
      </c>
    </row>
    <row r="422" spans="1:10" x14ac:dyDescent="0.35">
      <c r="A422" s="2" t="s">
        <v>167</v>
      </c>
      <c r="B422" s="71">
        <v>8.1210890203045935E-2</v>
      </c>
      <c r="C422" s="73">
        <v>0.32148545087124542</v>
      </c>
      <c r="D422" s="75">
        <v>0.1174011792322416</v>
      </c>
      <c r="E422">
        <v>0.22796500959048699</v>
      </c>
      <c r="F422" s="77">
        <v>0.25193747010298018</v>
      </c>
      <c r="G422" s="79">
        <v>0</v>
      </c>
      <c r="H422" s="58">
        <f t="shared" si="32"/>
        <v>0.1694085277897619</v>
      </c>
      <c r="I422" cm="1">
        <f t="array" ref="I422">SQRT(MMULT(B422:F422,MMULT($M$273:$Q$277,TRANSPOSE(B422:F422))))</f>
        <v>0.69837722292358462</v>
      </c>
      <c r="J422">
        <f t="shared" si="33"/>
        <v>4.1224443186843551</v>
      </c>
    </row>
    <row r="423" spans="1:10" x14ac:dyDescent="0.35">
      <c r="A423" s="2" t="s">
        <v>168</v>
      </c>
      <c r="B423" s="71">
        <v>0.15258771064185231</v>
      </c>
      <c r="C423" s="73">
        <v>0.3352206474619111</v>
      </c>
      <c r="D423" s="75">
        <v>0.1472620656079035</v>
      </c>
      <c r="E423">
        <v>0.2620036409864957</v>
      </c>
      <c r="F423" s="77">
        <v>0.1029259353018374</v>
      </c>
      <c r="G423" s="79">
        <v>0</v>
      </c>
      <c r="H423" s="58">
        <f t="shared" si="32"/>
        <v>0.14957409729562299</v>
      </c>
      <c r="I423" cm="1">
        <f t="array" ref="I423">SQRT(MMULT(B423:F423,MMULT($M$273:$Q$277,TRANSPOSE(B423:F423))))</f>
        <v>0.66367524195910865</v>
      </c>
      <c r="J423">
        <f t="shared" si="33"/>
        <v>4.4371000992732039</v>
      </c>
    </row>
    <row r="424" spans="1:10" x14ac:dyDescent="0.35">
      <c r="A424" s="2" t="s">
        <v>169</v>
      </c>
      <c r="B424" s="71">
        <v>1.8233689656789131E-4</v>
      </c>
      <c r="C424" s="73">
        <v>4.4641270582229817E-2</v>
      </c>
      <c r="D424" s="75">
        <v>0.4614649721253703</v>
      </c>
      <c r="E424">
        <v>0.45043093142948198</v>
      </c>
      <c r="F424" s="77">
        <v>4.3280488966349957E-2</v>
      </c>
      <c r="G424" s="79">
        <v>0</v>
      </c>
      <c r="H424" s="58">
        <f t="shared" si="32"/>
        <v>0.15284601505516041</v>
      </c>
      <c r="I424" cm="1">
        <f t="array" ref="I424">SQRT(MMULT(B424:F424,MMULT($M$273:$Q$277,TRANSPOSE(B424:F424))))</f>
        <v>0.80845936976269273</v>
      </c>
      <c r="J424">
        <f t="shared" si="33"/>
        <v>5.289371590557522</v>
      </c>
    </row>
    <row r="425" spans="1:10" x14ac:dyDescent="0.35">
      <c r="A425" s="2" t="s">
        <v>170</v>
      </c>
      <c r="B425" s="71">
        <v>0.1029781402830045</v>
      </c>
      <c r="C425" s="73">
        <v>5.0327610769168293E-2</v>
      </c>
      <c r="D425" s="75">
        <v>0.21017304071302431</v>
      </c>
      <c r="E425">
        <v>0.26619696613303218</v>
      </c>
      <c r="F425" s="77">
        <v>0.37032424210177078</v>
      </c>
      <c r="G425" s="79">
        <v>0</v>
      </c>
      <c r="H425" s="58">
        <f t="shared" si="32"/>
        <v>0.16613146753503066</v>
      </c>
      <c r="I425" cm="1">
        <f t="array" ref="I425">SQRT(MMULT(B425:F425,MMULT($M$273:$Q$277,TRANSPOSE(B425:F425))))</f>
        <v>0.71693803933657019</v>
      </c>
      <c r="J425">
        <f t="shared" si="33"/>
        <v>4.3154861025073163</v>
      </c>
    </row>
    <row r="426" spans="1:10" x14ac:dyDescent="0.35">
      <c r="A426" s="2" t="s">
        <v>171</v>
      </c>
      <c r="B426" s="71">
        <v>0.17646365863638969</v>
      </c>
      <c r="C426" s="73">
        <v>0.22586734260668509</v>
      </c>
      <c r="D426" s="75">
        <v>0.18760574548469319</v>
      </c>
      <c r="E426">
        <v>0.24762460369616571</v>
      </c>
      <c r="F426" s="77">
        <v>0.16243864957606621</v>
      </c>
      <c r="G426" s="79">
        <v>0</v>
      </c>
      <c r="H426" s="58">
        <f t="shared" si="32"/>
        <v>0.13897877808475573</v>
      </c>
      <c r="I426" cm="1">
        <f t="array" ref="I426">SQRT(MMULT(B426:F426,MMULT($M$273:$Q$277,TRANSPOSE(B426:F426))))</f>
        <v>0.65086259990613982</v>
      </c>
      <c r="J426">
        <f t="shared" si="33"/>
        <v>4.6831797550357903</v>
      </c>
    </row>
    <row r="427" spans="1:10" x14ac:dyDescent="0.35">
      <c r="A427" s="2" t="s">
        <v>172</v>
      </c>
      <c r="B427" s="71">
        <v>0.18782539443401969</v>
      </c>
      <c r="C427" s="73">
        <v>0.1516557972209838</v>
      </c>
      <c r="D427" s="75">
        <v>0.22293395513680939</v>
      </c>
      <c r="E427">
        <v>0.22758464113005511</v>
      </c>
      <c r="F427" s="77">
        <v>0.21000021207813191</v>
      </c>
      <c r="G427" s="79">
        <v>0</v>
      </c>
      <c r="H427" s="58">
        <f t="shared" si="32"/>
        <v>0.12901202518785115</v>
      </c>
      <c r="I427" cm="1">
        <f t="array" ref="I427">SQRT(MMULT(B427:F427,MMULT($M$273:$Q$277,TRANSPOSE(B427:F427))))</f>
        <v>0.64652631530016602</v>
      </c>
      <c r="J427">
        <f t="shared" si="33"/>
        <v>5.011364749594275</v>
      </c>
    </row>
    <row r="428" spans="1:10" x14ac:dyDescent="0.35">
      <c r="A428" s="2" t="s">
        <v>173</v>
      </c>
      <c r="B428" s="71">
        <v>0.2171956172198877</v>
      </c>
      <c r="C428" s="73">
        <v>0.24467561904661739</v>
      </c>
      <c r="D428" s="75">
        <v>0.18918491342261939</v>
      </c>
      <c r="E428">
        <v>0.16101499075800049</v>
      </c>
      <c r="F428" s="77">
        <v>0.187928859552875</v>
      </c>
      <c r="G428" s="79">
        <v>0</v>
      </c>
      <c r="H428" s="58">
        <f t="shared" si="32"/>
        <v>0.11321047795803225</v>
      </c>
      <c r="I428" cm="1">
        <f t="array" ref="I428">SQRT(MMULT(B428:F428,MMULT($M$273:$Q$277,TRANSPOSE(B428:F428))))</f>
        <v>0.63686411881029759</v>
      </c>
      <c r="J428">
        <f t="shared" si="33"/>
        <v>5.6254874133327712</v>
      </c>
    </row>
    <row r="429" spans="1:10" x14ac:dyDescent="0.35">
      <c r="A429" s="2" t="s">
        <v>174</v>
      </c>
      <c r="B429" s="71">
        <v>0.23411133756159211</v>
      </c>
      <c r="C429" s="73">
        <v>0.10743292498488841</v>
      </c>
      <c r="D429" s="75">
        <v>0.23382970859951499</v>
      </c>
      <c r="E429">
        <v>0.26097337579993302</v>
      </c>
      <c r="F429" s="77">
        <v>0.1636526530540714</v>
      </c>
      <c r="G429" s="79">
        <v>0</v>
      </c>
      <c r="H429" s="58">
        <f t="shared" si="32"/>
        <v>0.12437288253058026</v>
      </c>
      <c r="I429" cm="1">
        <f t="array" ref="I429">SQRT(MMULT(B429:F429,MMULT($M$273:$Q$277,TRANSPOSE(B429:F429))))</f>
        <v>0.64602224852010737</v>
      </c>
      <c r="J429">
        <f t="shared" si="33"/>
        <v>5.1942371630830877</v>
      </c>
    </row>
    <row r="430" spans="1:10" x14ac:dyDescent="0.35">
      <c r="A430" s="2" t="s">
        <v>175</v>
      </c>
      <c r="B430" s="71">
        <v>0.1800135381027152</v>
      </c>
      <c r="C430" s="73">
        <v>0.15948585097867729</v>
      </c>
      <c r="D430" s="75">
        <v>0.2175473810890205</v>
      </c>
      <c r="E430">
        <v>3.8655690012443428E-2</v>
      </c>
      <c r="F430" s="77">
        <v>0.40429753981714373</v>
      </c>
      <c r="G430" s="79">
        <v>0</v>
      </c>
      <c r="H430" s="58">
        <f t="shared" si="32"/>
        <v>9.9923867700368596E-2</v>
      </c>
      <c r="I430" cm="1">
        <f t="array" ref="I430">SQRT(MMULT(B430:F430,MMULT($M$273:$Q$277,TRANSPOSE(B430:F430))))</f>
        <v>0.63961264180960031</v>
      </c>
      <c r="J430">
        <f t="shared" si="33"/>
        <v>6.4009996463261496</v>
      </c>
    </row>
    <row r="431" spans="1:10" x14ac:dyDescent="0.35">
      <c r="A431" s="2" t="s">
        <v>176</v>
      </c>
      <c r="B431" s="71">
        <v>1.003194887570669E-2</v>
      </c>
      <c r="C431" s="73">
        <v>0.21961237520254731</v>
      </c>
      <c r="D431" s="75">
        <v>0.34548763465102011</v>
      </c>
      <c r="E431">
        <v>0.17858033889021471</v>
      </c>
      <c r="F431" s="77">
        <v>0.2462877023805112</v>
      </c>
      <c r="G431" s="79">
        <v>0</v>
      </c>
      <c r="H431" s="58">
        <f t="shared" si="32"/>
        <v>0.12317626129296948</v>
      </c>
      <c r="I431" cm="1">
        <f t="array" ref="I431">SQRT(MMULT(B431:F431,MMULT($M$273:$Q$277,TRANSPOSE(B431:F431))))</f>
        <v>0.69692827167327487</v>
      </c>
      <c r="J431">
        <f t="shared" si="33"/>
        <v>5.6579755251351616</v>
      </c>
    </row>
    <row r="432" spans="1:10" x14ac:dyDescent="0.35">
      <c r="A432" s="2" t="s">
        <v>177</v>
      </c>
      <c r="B432" s="71">
        <v>0.23775848704713801</v>
      </c>
      <c r="C432" s="73">
        <v>0.10634937512725499</v>
      </c>
      <c r="D432" s="75">
        <v>0.33469210843999853</v>
      </c>
      <c r="E432">
        <v>0.1919629673433885</v>
      </c>
      <c r="F432" s="77">
        <v>0.12923706204221991</v>
      </c>
      <c r="G432" s="79">
        <v>0</v>
      </c>
      <c r="H432" s="58">
        <f t="shared" si="32"/>
        <v>8.4603451520344347E-2</v>
      </c>
      <c r="I432" cm="1">
        <f t="array" ref="I432">SQRT(MMULT(B432:F432,MMULT($M$273:$Q$277,TRANSPOSE(B432:F432))))</f>
        <v>0.63419340117366252</v>
      </c>
      <c r="J432">
        <f t="shared" si="33"/>
        <v>7.4960700748853002</v>
      </c>
    </row>
    <row r="433" spans="1:10" x14ac:dyDescent="0.35">
      <c r="A433" s="2" t="s">
        <v>178</v>
      </c>
      <c r="B433" s="71">
        <v>0.15543565156463249</v>
      </c>
      <c r="C433" s="73">
        <v>0.1201678903102245</v>
      </c>
      <c r="D433" s="75">
        <v>3.7956123884258459E-2</v>
      </c>
      <c r="E433">
        <v>0.50253299515470029</v>
      </c>
      <c r="F433" s="77">
        <v>0.18390733908618431</v>
      </c>
      <c r="G433" s="79">
        <v>0</v>
      </c>
      <c r="H433" s="58">
        <f t="shared" si="32"/>
        <v>0.23532587591487428</v>
      </c>
      <c r="I433" cm="1">
        <f t="array" ref="I433">SQRT(MMULT(B433:F433,MMULT($M$273:$Q$277,TRANSPOSE(B433:F433))))</f>
        <v>0.75566199954446533</v>
      </c>
      <c r="J433">
        <f t="shared" si="33"/>
        <v>3.2111300833649721</v>
      </c>
    </row>
    <row r="434" spans="1:10" x14ac:dyDescent="0.35">
      <c r="A434" s="2" t="s">
        <v>179</v>
      </c>
      <c r="B434" s="71">
        <v>0.2738817142853085</v>
      </c>
      <c r="C434" s="73">
        <v>0.14821923778793791</v>
      </c>
      <c r="D434" s="75">
        <v>0.4028432263265152</v>
      </c>
      <c r="E434">
        <v>0.15279813799640471</v>
      </c>
      <c r="F434" s="77">
        <v>2.225768360383382E-2</v>
      </c>
      <c r="G434" s="79">
        <v>0</v>
      </c>
      <c r="H434" s="58">
        <f t="shared" si="32"/>
        <v>4.8029697192584805E-2</v>
      </c>
      <c r="I434" cm="1">
        <f t="array" ref="I434">SQRT(MMULT(B434:F434,MMULT($M$273:$Q$277,TRANSPOSE(B434:F434))))</f>
        <v>0.65129223183745777</v>
      </c>
      <c r="J434">
        <f t="shared" si="33"/>
        <v>13.560198583513229</v>
      </c>
    </row>
    <row r="435" spans="1:10" x14ac:dyDescent="0.35">
      <c r="A435" s="2" t="s">
        <v>180</v>
      </c>
      <c r="B435" s="71">
        <v>0.25162750461349132</v>
      </c>
      <c r="C435" s="73">
        <v>0.28865895886447668</v>
      </c>
      <c r="D435" s="75">
        <v>0.13483174459327429</v>
      </c>
      <c r="E435">
        <v>0.30229203325643139</v>
      </c>
      <c r="F435" s="77">
        <v>2.2589758672326359E-2</v>
      </c>
      <c r="G435" s="79">
        <v>0</v>
      </c>
      <c r="H435" s="58">
        <f t="shared" si="32"/>
        <v>0.14049026112062032</v>
      </c>
      <c r="I435" cm="1">
        <f t="array" ref="I435">SQRT(MMULT(B435:F435,MMULT($M$273:$Q$277,TRANSPOSE(B435:F435))))</f>
        <v>0.65376628485440469</v>
      </c>
      <c r="J435">
        <f t="shared" si="33"/>
        <v>4.6534633763197464</v>
      </c>
    </row>
    <row r="436" spans="1:10" x14ac:dyDescent="0.35">
      <c r="A436" s="2" t="s">
        <v>181</v>
      </c>
      <c r="B436" s="71">
        <v>0.2262372775330678</v>
      </c>
      <c r="C436" s="73">
        <v>0.28431049572830841</v>
      </c>
      <c r="D436" s="75">
        <v>0.21491909363633291</v>
      </c>
      <c r="E436">
        <v>0.1069380352940567</v>
      </c>
      <c r="F436" s="77">
        <v>0.16759509780823409</v>
      </c>
      <c r="G436" s="79">
        <v>0</v>
      </c>
      <c r="H436" s="58">
        <f t="shared" si="32"/>
        <v>9.2050831785289611E-2</v>
      </c>
      <c r="I436" cm="1">
        <f t="array" ref="I436">SQRT(MMULT(B436:F436,MMULT($M$273:$Q$277,TRANSPOSE(B436:F436))))</f>
        <v>0.6348107476703817</v>
      </c>
      <c r="J436">
        <f t="shared" si="33"/>
        <v>6.8963064793492617</v>
      </c>
    </row>
    <row r="437" spans="1:10" x14ac:dyDescent="0.35">
      <c r="A437" s="2" t="s">
        <v>182</v>
      </c>
      <c r="B437" s="71">
        <v>0.26061228848765311</v>
      </c>
      <c r="C437" s="73">
        <v>0.29506067030979288</v>
      </c>
      <c r="D437" s="75">
        <v>3.1352246250589057E-2</v>
      </c>
      <c r="E437">
        <v>0.14446907599017181</v>
      </c>
      <c r="F437" s="77">
        <v>0.26850571896179309</v>
      </c>
      <c r="G437" s="79">
        <v>0</v>
      </c>
      <c r="H437" s="58">
        <f t="shared" si="32"/>
        <v>0.13954053735796235</v>
      </c>
      <c r="I437" cm="1">
        <f t="array" ref="I437">SQRT(MMULT(B437:F437,MMULT($M$273:$Q$277,TRANSPOSE(B437:F437))))</f>
        <v>0.6861454111577906</v>
      </c>
      <c r="J437">
        <f t="shared" si="33"/>
        <v>4.9171762138024926</v>
      </c>
    </row>
    <row r="438" spans="1:10" x14ac:dyDescent="0.35">
      <c r="A438" s="2" t="s">
        <v>183</v>
      </c>
      <c r="B438" s="71">
        <v>0.29143721089074692</v>
      </c>
      <c r="C438" s="73">
        <v>0.17521677407862521</v>
      </c>
      <c r="D438" s="75">
        <v>1.936271401490074E-2</v>
      </c>
      <c r="E438">
        <v>7.5013064763495493E-2</v>
      </c>
      <c r="F438" s="77">
        <v>0.43897023625223153</v>
      </c>
      <c r="G438" s="79">
        <v>0</v>
      </c>
      <c r="H438" s="58">
        <f t="shared" si="32"/>
        <v>0.13310905345597462</v>
      </c>
      <c r="I438" cm="1">
        <f t="array" ref="I438">SQRT(MMULT(B438:F438,MMULT($M$273:$Q$277,TRANSPOSE(B438:F438))))</f>
        <v>0.70514243009320865</v>
      </c>
      <c r="J438">
        <f t="shared" si="33"/>
        <v>5.2974791104380605</v>
      </c>
    </row>
    <row r="439" spans="1:10" x14ac:dyDescent="0.35">
      <c r="A439" s="2" t="s">
        <v>184</v>
      </c>
      <c r="B439" s="71">
        <v>2.169522459922307E-2</v>
      </c>
      <c r="C439" s="73">
        <v>6.7517679819900325E-2</v>
      </c>
      <c r="D439" s="75">
        <v>0.42571483542598698</v>
      </c>
      <c r="E439">
        <v>0.40902407229631421</v>
      </c>
      <c r="F439" s="77">
        <v>7.6048187858575353E-2</v>
      </c>
      <c r="G439" s="79">
        <v>0</v>
      </c>
      <c r="H439" s="58">
        <f t="shared" si="32"/>
        <v>0.14892957916338784</v>
      </c>
      <c r="I439" cm="1">
        <f t="array" ref="I439">SQRT(MMULT(B439:F439,MMULT($M$273:$Q$277,TRANSPOSE(B439:F439))))</f>
        <v>0.77124682576484183</v>
      </c>
      <c r="J439">
        <f t="shared" si="33"/>
        <v>5.1786007191944154</v>
      </c>
    </row>
    <row r="440" spans="1:10" x14ac:dyDescent="0.35">
      <c r="A440" s="2" t="s">
        <v>185</v>
      </c>
      <c r="B440" s="71">
        <v>0.28077457578371351</v>
      </c>
      <c r="C440" s="73">
        <v>0.2759572837444893</v>
      </c>
      <c r="D440" s="75">
        <v>0.15353779806598361</v>
      </c>
      <c r="E440">
        <v>0.18774079807005181</v>
      </c>
      <c r="F440" s="77">
        <v>0.1019895443357617</v>
      </c>
      <c r="G440" s="79">
        <v>0</v>
      </c>
      <c r="H440" s="58">
        <f t="shared" si="32"/>
        <v>0.11041619990913737</v>
      </c>
      <c r="I440" cm="1">
        <f t="array" ref="I440">SQRT(MMULT(B440:F440,MMULT($M$273:$Q$277,TRANSPOSE(B440:F440))))</f>
        <v>0.64243929325345051</v>
      </c>
      <c r="J440">
        <f t="shared" si="33"/>
        <v>5.8183427230978824</v>
      </c>
    </row>
    <row r="441" spans="1:10" x14ac:dyDescent="0.35">
      <c r="A441" s="2" t="s">
        <v>186</v>
      </c>
      <c r="B441" s="71">
        <v>0.28979550437805868</v>
      </c>
      <c r="C441" s="73">
        <v>0.25933035487673423</v>
      </c>
      <c r="D441" s="75">
        <v>1.312004287286562E-2</v>
      </c>
      <c r="E441">
        <v>0.23879654233225911</v>
      </c>
      <c r="F441" s="77">
        <v>0.19895755554008249</v>
      </c>
      <c r="G441" s="79">
        <v>0</v>
      </c>
      <c r="H441" s="58">
        <f t="shared" si="32"/>
        <v>0.15634802231729417</v>
      </c>
      <c r="I441" cm="1">
        <f t="array" ref="I441">SQRT(MMULT(B441:F441,MMULT($M$273:$Q$277,TRANSPOSE(B441:F441))))</f>
        <v>0.68525711055139782</v>
      </c>
      <c r="J441">
        <f t="shared" si="33"/>
        <v>4.3828959291901404</v>
      </c>
    </row>
    <row r="442" spans="1:10" x14ac:dyDescent="0.35">
      <c r="A442" s="2" t="s">
        <v>187</v>
      </c>
      <c r="B442" s="71">
        <v>8.1374754285787776E-2</v>
      </c>
      <c r="C442" s="73">
        <v>0.18155539492506689</v>
      </c>
      <c r="D442" s="75">
        <v>0.34628046557833358</v>
      </c>
      <c r="E442">
        <v>0.212214241785181</v>
      </c>
      <c r="F442" s="77">
        <v>0.17857514342563069</v>
      </c>
      <c r="G442" s="79">
        <v>0</v>
      </c>
      <c r="H442" s="58">
        <f t="shared" si="32"/>
        <v>0.11510048115375263</v>
      </c>
      <c r="I442" cm="1">
        <f t="array" ref="I442">SQRT(MMULT(B442:F442,MMULT($M$273:$Q$277,TRANSPOSE(B442:F442))))</f>
        <v>0.67169758082542619</v>
      </c>
      <c r="J442">
        <f t="shared" si="33"/>
        <v>5.8357495476336396</v>
      </c>
    </row>
    <row r="443" spans="1:10" x14ac:dyDescent="0.35">
      <c r="A443" s="2" t="s">
        <v>188</v>
      </c>
      <c r="B443" s="71">
        <v>0.38556270859411662</v>
      </c>
      <c r="C443" s="73">
        <v>0.10300728156550661</v>
      </c>
      <c r="D443" s="75">
        <v>0.33427654948832131</v>
      </c>
      <c r="E443">
        <v>0.16649602234594679</v>
      </c>
      <c r="F443" s="77">
        <v>1.0657438006108961E-2</v>
      </c>
      <c r="G443" s="79">
        <v>0</v>
      </c>
      <c r="H443" s="58">
        <f t="shared" si="32"/>
        <v>4.672767593291792E-2</v>
      </c>
      <c r="I443" cm="1">
        <f t="array" ref="I443">SQRT(MMULT(B443:F443,MMULT($M$273:$Q$277,TRANSPOSE(B443:F443))))</f>
        <v>0.65006601613177284</v>
      </c>
      <c r="J443">
        <f t="shared" si="33"/>
        <v>13.911798589448471</v>
      </c>
    </row>
    <row r="444" spans="1:10" x14ac:dyDescent="0.35">
      <c r="A444" s="2" t="s">
        <v>189</v>
      </c>
      <c r="B444" s="71">
        <v>0.21767839894482741</v>
      </c>
      <c r="C444" s="73">
        <v>0.27083811935174112</v>
      </c>
      <c r="D444" s="75">
        <v>0.1733595564539549</v>
      </c>
      <c r="E444">
        <v>0.2456274798993261</v>
      </c>
      <c r="F444" s="77">
        <v>9.2496445350150669E-2</v>
      </c>
      <c r="G444" s="79">
        <v>0</v>
      </c>
      <c r="H444" s="58">
        <f t="shared" si="32"/>
        <v>0.12964310011805935</v>
      </c>
      <c r="I444" cm="1">
        <f t="array" ref="I444">SQRT(MMULT(B444:F444,MMULT($M$273:$Q$277,TRANSPOSE(B444:F444))))</f>
        <v>0.64561776253914305</v>
      </c>
      <c r="J444">
        <f t="shared" si="33"/>
        <v>4.9799623886748456</v>
      </c>
    </row>
    <row r="445" spans="1:10" x14ac:dyDescent="0.35">
      <c r="A445" s="2" t="s">
        <v>190</v>
      </c>
      <c r="B445" s="71">
        <v>6.7369649232822487E-2</v>
      </c>
      <c r="C445" s="73">
        <v>1.4874748555674311E-2</v>
      </c>
      <c r="D445" s="75">
        <v>0.29832027835205399</v>
      </c>
      <c r="E445">
        <v>0.25339395398079873</v>
      </c>
      <c r="F445" s="77">
        <v>0.36604136987865049</v>
      </c>
      <c r="G445" s="79">
        <v>0</v>
      </c>
      <c r="H445" s="58">
        <f t="shared" si="32"/>
        <v>0.15088515618878423</v>
      </c>
      <c r="I445" cm="1">
        <f t="array" ref="I445">SQRT(MMULT(B445:F445,MMULT($M$273:$Q$277,TRANSPOSE(B445:F445))))</f>
        <v>0.72357996246505563</v>
      </c>
      <c r="J445">
        <f t="shared" si="33"/>
        <v>4.795567574319425</v>
      </c>
    </row>
    <row r="446" spans="1:10" x14ac:dyDescent="0.35">
      <c r="A446" s="2" t="s">
        <v>191</v>
      </c>
      <c r="B446" s="71">
        <v>0.2275160358213493</v>
      </c>
      <c r="C446" s="73">
        <v>0.14664136871634301</v>
      </c>
      <c r="D446" s="75">
        <v>0.25068138465971079</v>
      </c>
      <c r="E446">
        <v>0.28038745276579807</v>
      </c>
      <c r="F446" s="77">
        <v>9.4773758036798841E-2</v>
      </c>
      <c r="G446" s="79">
        <v>0</v>
      </c>
      <c r="H446" s="58">
        <f t="shared" si="32"/>
        <v>0.12160489512735034</v>
      </c>
      <c r="I446" cm="1">
        <f t="array" ref="I446">SQRT(MMULT(B446:F446,MMULT($M$273:$Q$277,TRANSPOSE(B446:F446))))</f>
        <v>0.6467259091996429</v>
      </c>
      <c r="J446">
        <f t="shared" si="33"/>
        <v>5.3182555564260898</v>
      </c>
    </row>
    <row r="447" spans="1:10" x14ac:dyDescent="0.35">
      <c r="A447" s="2" t="s">
        <v>192</v>
      </c>
      <c r="B447" s="71">
        <v>0.18482484785984279</v>
      </c>
      <c r="C447" s="73">
        <v>0.13033020989849711</v>
      </c>
      <c r="D447" s="75">
        <v>0.34598045002266359</v>
      </c>
      <c r="E447">
        <v>0.11597094782161289</v>
      </c>
      <c r="F447" s="77">
        <v>0.2228935443973836</v>
      </c>
      <c r="G447" s="79">
        <v>0</v>
      </c>
      <c r="H447" s="58">
        <f t="shared" si="32"/>
        <v>7.911111942008503E-2</v>
      </c>
      <c r="I447" cm="1">
        <f t="array" ref="I447">SQRT(MMULT(B447:F447,MMULT($M$273:$Q$277,TRANSPOSE(B447:F447))))</f>
        <v>0.62596996091774648</v>
      </c>
      <c r="J447">
        <f t="shared" si="33"/>
        <v>7.912540809766659</v>
      </c>
    </row>
    <row r="448" spans="1:10" x14ac:dyDescent="0.35">
      <c r="A448" s="2" t="s">
        <v>193</v>
      </c>
      <c r="B448" s="71">
        <v>0.22034610877778349</v>
      </c>
      <c r="C448" s="73">
        <v>0.14161319682079851</v>
      </c>
      <c r="D448" s="75">
        <v>0.19178887035594319</v>
      </c>
      <c r="E448">
        <v>3.2398781878814108E-3</v>
      </c>
      <c r="F448" s="77">
        <v>0.44301194585759329</v>
      </c>
      <c r="G448" s="79">
        <v>0</v>
      </c>
      <c r="H448" s="58">
        <f t="shared" si="32"/>
        <v>9.3057230750063891E-2</v>
      </c>
      <c r="I448" cm="1">
        <f t="array" ref="I448">SQRT(MMULT(B448:F448,MMULT($M$273:$Q$277,TRANSPOSE(B448:F448))))</f>
        <v>0.63757735427533202</v>
      </c>
      <c r="J448">
        <f t="shared" si="33"/>
        <v>6.8514541979844408</v>
      </c>
    </row>
    <row r="449" spans="1:10" x14ac:dyDescent="0.35">
      <c r="A449" s="2" t="s">
        <v>194</v>
      </c>
      <c r="B449" s="71">
        <v>0.37050620923564281</v>
      </c>
      <c r="C449" s="73">
        <v>0.1203688036973484</v>
      </c>
      <c r="D449" s="75">
        <v>0.17615984882325031</v>
      </c>
      <c r="E449">
        <v>6.623899218655703E-2</v>
      </c>
      <c r="F449" s="77">
        <v>0.26672614605720141</v>
      </c>
      <c r="G449" s="79">
        <v>0</v>
      </c>
      <c r="H449" s="58">
        <f t="shared" si="32"/>
        <v>7.4998689711172226E-2</v>
      </c>
      <c r="I449" cm="1">
        <f t="array" ref="I449">SQRT(MMULT(B449:F449,MMULT($M$273:$Q$277,TRANSPOSE(B449:F449))))</f>
        <v>0.62216854412769063</v>
      </c>
      <c r="J449">
        <f t="shared" si="33"/>
        <v>8.2957255189887533</v>
      </c>
    </row>
    <row r="450" spans="1:10" x14ac:dyDescent="0.35">
      <c r="A450" s="2" t="s">
        <v>195</v>
      </c>
      <c r="B450" s="71">
        <v>0.32023818022765799</v>
      </c>
      <c r="C450" s="73">
        <v>0.28487016219793082</v>
      </c>
      <c r="D450" s="75">
        <v>0.25908450403325789</v>
      </c>
      <c r="E450">
        <v>1.710264887193506E-2</v>
      </c>
      <c r="F450" s="77">
        <v>0.11870450466921841</v>
      </c>
      <c r="G450" s="79">
        <v>0</v>
      </c>
      <c r="H450" s="58">
        <f t="shared" si="32"/>
        <v>4.3306357526439784E-2</v>
      </c>
      <c r="I450" cm="1">
        <f t="array" ref="I450">SQRT(MMULT(B450:F450,MMULT($M$273:$Q$277,TRANSPOSE(B450:F450))))</f>
        <v>0.63731746908328069</v>
      </c>
      <c r="J450">
        <f t="shared" si="33"/>
        <v>14.716487497111249</v>
      </c>
    </row>
    <row r="451" spans="1:10" x14ac:dyDescent="0.35">
      <c r="A451" s="2" t="s">
        <v>196</v>
      </c>
      <c r="B451" s="71">
        <v>5.5439355751938077E-2</v>
      </c>
      <c r="C451" s="73">
        <v>5.0188917120360867E-2</v>
      </c>
      <c r="D451" s="75">
        <v>0.36599459461273731</v>
      </c>
      <c r="E451">
        <v>0.28304872089358663</v>
      </c>
      <c r="F451" s="77">
        <v>0.24532841162137711</v>
      </c>
      <c r="G451" s="79">
        <v>0</v>
      </c>
      <c r="H451" s="58">
        <f t="shared" si="32"/>
        <v>0.13754531586680954</v>
      </c>
      <c r="I451" cm="1">
        <f t="array" ref="I451">SQRT(MMULT(B451:F451,MMULT($M$273:$Q$277,TRANSPOSE(B451:F451))))</f>
        <v>0.71770518661841254</v>
      </c>
      <c r="J451">
        <f t="shared" si="33"/>
        <v>5.2179544035755772</v>
      </c>
    </row>
    <row r="452" spans="1:10" x14ac:dyDescent="0.35">
      <c r="A452" s="2" t="s">
        <v>197</v>
      </c>
      <c r="B452" s="71">
        <v>0.17693523252051099</v>
      </c>
      <c r="C452" s="73">
        <v>0.29272768370543378</v>
      </c>
      <c r="D452" s="75">
        <v>3.8162470282423221E-2</v>
      </c>
      <c r="E452">
        <v>0.29673481375097333</v>
      </c>
      <c r="F452" s="77">
        <v>0.19543979974065859</v>
      </c>
      <c r="G452" s="79">
        <v>0</v>
      </c>
      <c r="H452" s="58">
        <f t="shared" si="32"/>
        <v>0.18268510528117649</v>
      </c>
      <c r="I452" cm="1">
        <f t="array" ref="I452">SQRT(MMULT(B452:F452,MMULT($M$273:$Q$277,TRANSPOSE(B452:F452))))</f>
        <v>0.69263090499043312</v>
      </c>
      <c r="J452">
        <f t="shared" si="33"/>
        <v>3.7913923191733816</v>
      </c>
    </row>
    <row r="453" spans="1:10" x14ac:dyDescent="0.35">
      <c r="A453" s="2" t="s">
        <v>198</v>
      </c>
      <c r="B453" s="71">
        <v>4.3347859842965851E-3</v>
      </c>
      <c r="C453" s="73">
        <v>9.8730345342012207E-2</v>
      </c>
      <c r="D453" s="75">
        <v>0.29175449297824479</v>
      </c>
      <c r="E453">
        <v>0.32018845475787872</v>
      </c>
      <c r="F453" s="77">
        <v>0.2849919209375677</v>
      </c>
      <c r="G453" s="79">
        <v>0</v>
      </c>
      <c r="H453" s="58">
        <f t="shared" si="32"/>
        <v>0.1720361215891536</v>
      </c>
      <c r="I453" cm="1">
        <f t="array" ref="I453">SQRT(MMULT(B453:F453,MMULT($M$273:$Q$277,TRANSPOSE(B453:F453))))</f>
        <v>0.7443164969898568</v>
      </c>
      <c r="J453">
        <f t="shared" si="33"/>
        <v>4.3265128864471212</v>
      </c>
    </row>
    <row r="454" spans="1:10" x14ac:dyDescent="0.35">
      <c r="A454" s="2" t="s">
        <v>199</v>
      </c>
      <c r="B454" s="71">
        <v>4.8452271350653088E-2</v>
      </c>
      <c r="C454" s="73">
        <v>0.31890946113810847</v>
      </c>
      <c r="D454" s="75">
        <v>0.21013323684878971</v>
      </c>
      <c r="E454">
        <v>0.121632735245656</v>
      </c>
      <c r="F454" s="77">
        <v>0.30087229541679272</v>
      </c>
      <c r="G454" s="79">
        <v>0</v>
      </c>
      <c r="H454" s="58">
        <f t="shared" si="32"/>
        <v>0.13405382654930587</v>
      </c>
      <c r="I454" cm="1">
        <f t="array" ref="I454">SQRT(MMULT(B454:F454,MMULT($M$273:$Q$277,TRANSPOSE(B454:F454))))</f>
        <v>0.69145324659222396</v>
      </c>
      <c r="J454">
        <f t="shared" si="33"/>
        <v>5.1580269238931642</v>
      </c>
    </row>
    <row r="455" spans="1:10" x14ac:dyDescent="0.35">
      <c r="A455" s="2" t="s">
        <v>200</v>
      </c>
      <c r="B455" s="71">
        <v>6.217245251044988E-2</v>
      </c>
      <c r="C455" s="73">
        <v>3.3490462958321518E-2</v>
      </c>
      <c r="D455" s="75">
        <v>0.22547048822687571</v>
      </c>
      <c r="E455">
        <v>0.36926367463397353</v>
      </c>
      <c r="F455" s="77">
        <v>0.30960292167037939</v>
      </c>
      <c r="G455" s="79">
        <v>0</v>
      </c>
      <c r="H455" s="58">
        <f t="shared" si="32"/>
        <v>0.18994662194215112</v>
      </c>
      <c r="I455" cm="1">
        <f t="array" ref="I455">SQRT(MMULT(B455:F455,MMULT($M$273:$Q$277,TRANSPOSE(B455:F455))))</f>
        <v>0.75531925125167187</v>
      </c>
      <c r="J455">
        <f t="shared" si="33"/>
        <v>3.9764816216721499</v>
      </c>
    </row>
    <row r="456" spans="1:10" x14ac:dyDescent="0.35">
      <c r="A456" s="2" t="s">
        <v>201</v>
      </c>
      <c r="B456" s="71">
        <v>0.1243092872255171</v>
      </c>
      <c r="C456" s="73">
        <v>0.13419094606410831</v>
      </c>
      <c r="D456" s="75">
        <v>0.20497582140191001</v>
      </c>
      <c r="E456">
        <v>0.13433267128227441</v>
      </c>
      <c r="F456" s="77">
        <v>0.40219127402619032</v>
      </c>
      <c r="G456" s="79">
        <v>0</v>
      </c>
      <c r="H456" s="58">
        <f t="shared" si="32"/>
        <v>0.13413483814156632</v>
      </c>
      <c r="I456" cm="1">
        <f t="array" ref="I456">SQRT(MMULT(B456:F456,MMULT($M$273:$Q$277,TRANSPOSE(B456:F456))))</f>
        <v>0.67432139719213169</v>
      </c>
      <c r="J456">
        <f t="shared" si="33"/>
        <v>5.0271905981684704</v>
      </c>
    </row>
    <row r="457" spans="1:10" x14ac:dyDescent="0.35">
      <c r="A457" s="2" t="s">
        <v>202</v>
      </c>
      <c r="B457" s="71">
        <v>0.29834206431383542</v>
      </c>
      <c r="C457" s="73">
        <v>8.6464834205781188E-2</v>
      </c>
      <c r="D457" s="75">
        <v>0.19208079481546969</v>
      </c>
      <c r="E457">
        <v>0.25903710221648729</v>
      </c>
      <c r="F457" s="77">
        <v>0.1640752044484263</v>
      </c>
      <c r="G457" s="79">
        <v>0</v>
      </c>
      <c r="H457" s="58">
        <f t="shared" si="32"/>
        <v>0.12222266207861116</v>
      </c>
      <c r="I457" cm="1">
        <f t="array" ref="I457">SQRT(MMULT(B457:F457,MMULT($M$273:$Q$277,TRANSPOSE(B457:F457))))</f>
        <v>0.64645699480657215</v>
      </c>
      <c r="J457">
        <f t="shared" si="33"/>
        <v>5.2891745590583197</v>
      </c>
    </row>
    <row r="458" spans="1:10" x14ac:dyDescent="0.35">
      <c r="A458" s="2" t="s">
        <v>203</v>
      </c>
      <c r="B458" s="71">
        <v>7.0374425696702577E-3</v>
      </c>
      <c r="C458" s="73">
        <v>0.18289230375545629</v>
      </c>
      <c r="D458" s="75">
        <v>0.55093640736758598</v>
      </c>
      <c r="E458">
        <v>5.4496119804558069E-2</v>
      </c>
      <c r="F458" s="77">
        <v>0.20463772650272949</v>
      </c>
      <c r="G458" s="79">
        <v>0</v>
      </c>
      <c r="H458" s="58">
        <f t="shared" si="32"/>
        <v>4.9945748173020471E-2</v>
      </c>
      <c r="I458" cm="1">
        <f t="array" ref="I458">SQRT(MMULT(B458:F458,MMULT($M$273:$Q$277,TRANSPOSE(B458:F458))))</f>
        <v>0.7209344700760496</v>
      </c>
      <c r="J458">
        <f t="shared" si="33"/>
        <v>14.434351199998273</v>
      </c>
    </row>
    <row r="459" spans="1:10" x14ac:dyDescent="0.35">
      <c r="A459" s="2" t="s">
        <v>204</v>
      </c>
      <c r="B459" s="71">
        <v>0.24295896897786159</v>
      </c>
      <c r="C459" s="73">
        <v>0.33724807161679982</v>
      </c>
      <c r="D459" s="75">
        <v>4.7478461861434472E-2</v>
      </c>
      <c r="E459">
        <v>5.5910892157971142E-3</v>
      </c>
      <c r="F459" s="77">
        <v>0.36672340832810713</v>
      </c>
      <c r="G459" s="79">
        <v>0</v>
      </c>
      <c r="H459" s="58">
        <f t="shared" si="32"/>
        <v>0.11267976521180008</v>
      </c>
      <c r="I459" cm="1">
        <f t="array" ref="I459">SQRT(MMULT(B459:F459,MMULT($M$273:$Q$277,TRANSPOSE(B459:F459))))</f>
        <v>0.70328878909441883</v>
      </c>
      <c r="J459">
        <f t="shared" si="33"/>
        <v>6.2414825569832555</v>
      </c>
    </row>
    <row r="460" spans="1:10" x14ac:dyDescent="0.35">
      <c r="A460" s="2" t="s">
        <v>205</v>
      </c>
      <c r="B460" s="71">
        <v>0.17442629330634421</v>
      </c>
      <c r="C460" s="73">
        <v>0.25855311986463247</v>
      </c>
      <c r="D460" s="75">
        <v>0.1061926164767726</v>
      </c>
      <c r="E460">
        <v>0.33199541754675232</v>
      </c>
      <c r="F460" s="77">
        <v>0.12883255280549841</v>
      </c>
      <c r="G460" s="79">
        <v>0</v>
      </c>
      <c r="H460" s="58">
        <f t="shared" si="32"/>
        <v>0.17328300341708386</v>
      </c>
      <c r="I460" cm="1">
        <f t="array" ref="I460">SQRT(MMULT(B460:F460,MMULT($M$273:$Q$277,TRANSPOSE(B460:F460))))</f>
        <v>0.67227952052469853</v>
      </c>
      <c r="J460">
        <f t="shared" si="33"/>
        <v>3.8796622130709153</v>
      </c>
    </row>
    <row r="461" spans="1:10" x14ac:dyDescent="0.35">
      <c r="A461" s="2" t="s">
        <v>206</v>
      </c>
      <c r="B461" s="71">
        <v>1.4782584068394359E-2</v>
      </c>
      <c r="C461" s="73">
        <v>0.41305690821217939</v>
      </c>
      <c r="D461" s="75">
        <v>4.6169369347728369E-2</v>
      </c>
      <c r="E461">
        <v>5.9312724155765419E-2</v>
      </c>
      <c r="F461" s="77">
        <v>0.46667841421593242</v>
      </c>
      <c r="G461" s="79">
        <v>0</v>
      </c>
      <c r="H461" s="58">
        <f t="shared" si="32"/>
        <v>0.16875820226601274</v>
      </c>
      <c r="I461" cm="1">
        <f t="array" ref="I461">SQRT(MMULT(B461:F461,MMULT($M$273:$Q$277,TRANSPOSE(B461:F461))))</f>
        <v>0.79417553564772791</v>
      </c>
      <c r="J461">
        <f t="shared" si="33"/>
        <v>4.7059966566595257</v>
      </c>
    </row>
    <row r="462" spans="1:10" x14ac:dyDescent="0.35">
      <c r="A462" s="2" t="s">
        <v>207</v>
      </c>
      <c r="B462" s="71">
        <v>0.28040371114188273</v>
      </c>
      <c r="C462" s="73">
        <v>0.20127058118633309</v>
      </c>
      <c r="D462" s="75">
        <v>4.8015443620818103E-2</v>
      </c>
      <c r="E462">
        <v>0.19344941653453901</v>
      </c>
      <c r="F462" s="77">
        <v>0.27686084751642698</v>
      </c>
      <c r="G462" s="79">
        <v>0</v>
      </c>
      <c r="H462" s="58">
        <f t="shared" si="32"/>
        <v>0.14579196891314014</v>
      </c>
      <c r="I462" cm="1">
        <f t="array" ref="I462">SQRT(MMULT(B462:F462,MMULT($M$273:$Q$277,TRANSPOSE(B462:F462))))</f>
        <v>0.67702003871282601</v>
      </c>
      <c r="J462">
        <f t="shared" si="33"/>
        <v>4.6437402811685784</v>
      </c>
    </row>
    <row r="463" spans="1:10" x14ac:dyDescent="0.35">
      <c r="A463" s="2" t="s">
        <v>208</v>
      </c>
      <c r="B463" s="71">
        <v>0.19224193343006679</v>
      </c>
      <c r="C463" s="73">
        <v>0.30257524322732871</v>
      </c>
      <c r="D463" s="75">
        <v>0.1592093853781141</v>
      </c>
      <c r="E463">
        <v>0.29343434291817061</v>
      </c>
      <c r="F463" s="77">
        <v>5.2539095046319782E-2</v>
      </c>
      <c r="G463" s="79">
        <v>0</v>
      </c>
      <c r="H463" s="58">
        <f t="shared" si="32"/>
        <v>0.14496795217372901</v>
      </c>
      <c r="I463" cm="1">
        <f t="array" ref="I463">SQRT(MMULT(B463:F463,MMULT($M$273:$Q$277,TRANSPOSE(B463:F463))))</f>
        <v>0.6551670880957019</v>
      </c>
      <c r="J463">
        <f t="shared" si="33"/>
        <v>4.5193925848559431</v>
      </c>
    </row>
    <row r="464" spans="1:10" x14ac:dyDescent="0.35">
      <c r="A464" s="2" t="s">
        <v>209</v>
      </c>
      <c r="B464" s="71">
        <v>0.1656668205277009</v>
      </c>
      <c r="C464" s="73">
        <v>0.29614103447004819</v>
      </c>
      <c r="D464" s="75">
        <v>5.0500391491871591E-2</v>
      </c>
      <c r="E464">
        <v>0.27384568802066461</v>
      </c>
      <c r="F464" s="77">
        <v>0.2138460654897146</v>
      </c>
      <c r="G464" s="79">
        <v>0</v>
      </c>
      <c r="H464" s="58">
        <f t="shared" si="32"/>
        <v>0.17781544330309154</v>
      </c>
      <c r="I464" cm="1">
        <f t="array" ref="I464">SQRT(MMULT(B464:F464,MMULT($M$273:$Q$277,TRANSPOSE(B464:F464))))</f>
        <v>0.69150377101826488</v>
      </c>
      <c r="J464">
        <f t="shared" si="33"/>
        <v>3.8888847794821557</v>
      </c>
    </row>
    <row r="465" spans="1:10" x14ac:dyDescent="0.35">
      <c r="A465" s="2" t="s">
        <v>210</v>
      </c>
      <c r="B465" s="71">
        <v>0.15874245710566209</v>
      </c>
      <c r="C465" s="73">
        <v>6.2413005765350901E-2</v>
      </c>
      <c r="D465" s="75">
        <v>0.26944861011891003</v>
      </c>
      <c r="E465">
        <v>9.6222674245896339E-2</v>
      </c>
      <c r="F465" s="77">
        <v>0.41317325276418071</v>
      </c>
      <c r="G465" s="79">
        <v>0</v>
      </c>
      <c r="H465" s="58">
        <f t="shared" si="32"/>
        <v>0.10772419763001373</v>
      </c>
      <c r="I465" cm="1">
        <f t="array" ref="I465">SQRT(MMULT(B465:F465,MMULT($M$273:$Q$277,TRANSPOSE(B465:F465))))</f>
        <v>0.64857171173730077</v>
      </c>
      <c r="J465">
        <f t="shared" si="33"/>
        <v>6.0206687634366567</v>
      </c>
    </row>
    <row r="466" spans="1:10" x14ac:dyDescent="0.35">
      <c r="A466" s="2" t="s">
        <v>211</v>
      </c>
      <c r="B466" s="71">
        <v>0.1063784090199682</v>
      </c>
      <c r="C466" s="73">
        <v>0.24571277728361651</v>
      </c>
      <c r="D466" s="75">
        <v>0.25194111846078471</v>
      </c>
      <c r="E466">
        <v>0.239820074254293</v>
      </c>
      <c r="F466" s="77">
        <v>0.15614762098133761</v>
      </c>
      <c r="G466" s="79">
        <v>0</v>
      </c>
      <c r="H466" s="58">
        <f t="shared" ref="H466:H529" si="34">B466*$B$253+C466*$D$253+D466*$F$253+E466*$H$253+F466*$J$253+G466*$L$253</f>
        <v>0.13478294617469544</v>
      </c>
      <c r="I466" cm="1">
        <f t="array" ref="I466">SQRT(MMULT(B466:F466,MMULT($M$273:$Q$277,TRANSPOSE(B466:F466))))</f>
        <v>0.66279698213158511</v>
      </c>
      <c r="J466">
        <f t="shared" ref="J466:J529" si="35">I466/H466</f>
        <v>4.9175136836118565</v>
      </c>
    </row>
    <row r="467" spans="1:10" x14ac:dyDescent="0.35">
      <c r="A467" s="2" t="s">
        <v>212</v>
      </c>
      <c r="B467" s="71">
        <v>0.1346163934100357</v>
      </c>
      <c r="C467" s="73">
        <v>0.25771175294318149</v>
      </c>
      <c r="D467" s="75">
        <v>0.36369034633442199</v>
      </c>
      <c r="E467">
        <v>8.6652501308427929E-2</v>
      </c>
      <c r="F467" s="77">
        <v>0.15732900600393279</v>
      </c>
      <c r="G467" s="79">
        <v>0</v>
      </c>
      <c r="H467" s="58">
        <f t="shared" si="34"/>
        <v>7.1269537562482943E-2</v>
      </c>
      <c r="I467" cm="1">
        <f t="array" ref="I467">SQRT(MMULT(B467:F467,MMULT($M$273:$Q$277,TRANSPOSE(B467:F467))))</f>
        <v>0.64776204051582331</v>
      </c>
      <c r="J467">
        <f t="shared" si="35"/>
        <v>9.0889047785376995</v>
      </c>
    </row>
    <row r="468" spans="1:10" x14ac:dyDescent="0.35">
      <c r="A468" s="2" t="s">
        <v>213</v>
      </c>
      <c r="B468" s="71">
        <v>0.25232780302073998</v>
      </c>
      <c r="C468" s="73">
        <v>7.1819372139248758E-2</v>
      </c>
      <c r="D468" s="75">
        <v>0.3512502721345141</v>
      </c>
      <c r="E468">
        <v>0.1072341692264213</v>
      </c>
      <c r="F468" s="77">
        <v>0.21736838347907581</v>
      </c>
      <c r="G468" s="79">
        <v>0</v>
      </c>
      <c r="H468" s="58">
        <f t="shared" si="34"/>
        <v>6.5126590096808573E-2</v>
      </c>
      <c r="I468" cm="1">
        <f t="array" ref="I468">SQRT(MMULT(B468:F468,MMULT($M$273:$Q$277,TRANSPOSE(B468:F468))))</f>
        <v>0.61431732138255779</v>
      </c>
      <c r="J468">
        <f t="shared" si="35"/>
        <v>9.432665221216018</v>
      </c>
    </row>
    <row r="469" spans="1:10" x14ac:dyDescent="0.35">
      <c r="A469" s="2" t="s">
        <v>214</v>
      </c>
      <c r="B469" s="71">
        <v>0.20335979794391859</v>
      </c>
      <c r="C469" s="73">
        <v>0.257490300505681</v>
      </c>
      <c r="D469" s="75">
        <v>6.0014865367066933E-2</v>
      </c>
      <c r="E469">
        <v>0.29442757433080557</v>
      </c>
      <c r="F469" s="77">
        <v>0.18470746185252801</v>
      </c>
      <c r="G469" s="79">
        <v>0</v>
      </c>
      <c r="H469" s="58">
        <f t="shared" si="34"/>
        <v>0.17295205033139166</v>
      </c>
      <c r="I469" cm="1">
        <f t="array" ref="I469">SQRT(MMULT(B469:F469,MMULT($M$273:$Q$277,TRANSPOSE(B469:F469))))</f>
        <v>0.67995135765212877</v>
      </c>
      <c r="J469">
        <f t="shared" si="35"/>
        <v>3.9314443300861766</v>
      </c>
    </row>
    <row r="470" spans="1:10" x14ac:dyDescent="0.35">
      <c r="A470" s="2" t="s">
        <v>215</v>
      </c>
      <c r="B470" s="71">
        <v>0.1250743496985193</v>
      </c>
      <c r="C470" s="73">
        <v>0.37572669584227653</v>
      </c>
      <c r="D470" s="75">
        <v>0.31631896488376349</v>
      </c>
      <c r="E470">
        <v>0.1787578273840964</v>
      </c>
      <c r="F470" s="77">
        <v>4.1221621913442551E-3</v>
      </c>
      <c r="G470" s="79">
        <v>0</v>
      </c>
      <c r="H470" s="58">
        <f t="shared" si="34"/>
        <v>9.2890264795499611E-2</v>
      </c>
      <c r="I470" cm="1">
        <f t="array" ref="I470">SQRT(MMULT(B470:F470,MMULT($M$273:$Q$277,TRANSPOSE(B470:F470))))</f>
        <v>0.67863630299867073</v>
      </c>
      <c r="J470">
        <f t="shared" si="35"/>
        <v>7.3057849979511484</v>
      </c>
    </row>
    <row r="471" spans="1:10" x14ac:dyDescent="0.35">
      <c r="A471" s="2" t="s">
        <v>216</v>
      </c>
      <c r="B471" s="71">
        <v>0.48390026528458102</v>
      </c>
      <c r="C471" s="73">
        <v>9.5147624112147472E-2</v>
      </c>
      <c r="D471" s="75">
        <v>0.17039813269407961</v>
      </c>
      <c r="E471">
        <v>1.2473868264543371E-2</v>
      </c>
      <c r="F471" s="77">
        <v>0.23808010964464871</v>
      </c>
      <c r="G471" s="79">
        <v>0</v>
      </c>
      <c r="H471" s="58">
        <f t="shared" si="34"/>
        <v>4.3381356148438459E-2</v>
      </c>
      <c r="I471" cm="1">
        <f t="array" ref="I471">SQRT(MMULT(B471:F471,MMULT($M$273:$Q$277,TRANSPOSE(B471:F471))))</f>
        <v>0.63891887252901491</v>
      </c>
      <c r="J471">
        <f t="shared" si="35"/>
        <v>14.727959871582144</v>
      </c>
    </row>
    <row r="472" spans="1:10" x14ac:dyDescent="0.35">
      <c r="A472" s="2" t="s">
        <v>217</v>
      </c>
      <c r="B472" s="71">
        <v>0.35759683023883909</v>
      </c>
      <c r="C472" s="73">
        <v>1.6555775210130588E-2</v>
      </c>
      <c r="D472" s="75">
        <v>0.318533573109053</v>
      </c>
      <c r="E472">
        <v>0.1543270415806938</v>
      </c>
      <c r="F472" s="77">
        <v>0.1529867798612834</v>
      </c>
      <c r="G472" s="79">
        <v>0</v>
      </c>
      <c r="H472" s="58">
        <f t="shared" si="34"/>
        <v>6.1927270322499554E-2</v>
      </c>
      <c r="I472" cm="1">
        <f t="array" ref="I472">SQRT(MMULT(B472:F472,MMULT($M$273:$Q$277,TRANSPOSE(B472:F472))))</f>
        <v>0.62691311457930465</v>
      </c>
      <c r="J472">
        <f t="shared" si="35"/>
        <v>10.123377169936928</v>
      </c>
    </row>
    <row r="473" spans="1:10" x14ac:dyDescent="0.35">
      <c r="A473" s="2" t="s">
        <v>218</v>
      </c>
      <c r="B473" s="71">
        <v>2.7007938808065131E-2</v>
      </c>
      <c r="C473" s="73">
        <v>0.13002733409299119</v>
      </c>
      <c r="D473" s="75">
        <v>0.18314433101339589</v>
      </c>
      <c r="E473">
        <v>0.30309064376510791</v>
      </c>
      <c r="F473" s="77">
        <v>4.8931115582723443E-2</v>
      </c>
      <c r="G473" s="80">
        <v>0.30779863673771662</v>
      </c>
      <c r="H473" s="58">
        <f t="shared" si="34"/>
        <v>0.16743586507184749</v>
      </c>
      <c r="I473" cm="1">
        <f t="array" ref="I473">SQRT(MMULT(B473:F473,MMULT($M$273:$Q$277,TRANSPOSE(B473:F473))))</f>
        <v>0.5013135579137743</v>
      </c>
      <c r="J473">
        <f t="shared" si="35"/>
        <v>2.994063175763797</v>
      </c>
    </row>
    <row r="474" spans="1:10" x14ac:dyDescent="0.35">
      <c r="A474" s="2" t="s">
        <v>219</v>
      </c>
      <c r="B474" s="71">
        <v>0.10723552644442789</v>
      </c>
      <c r="C474" s="73">
        <v>2.718696931899961E-2</v>
      </c>
      <c r="D474" s="75">
        <v>5.129986599103855E-2</v>
      </c>
      <c r="E474">
        <v>0.34088520936227812</v>
      </c>
      <c r="F474" s="77">
        <v>0.114343451775977</v>
      </c>
      <c r="G474" s="80">
        <v>0.35904897710727879</v>
      </c>
      <c r="H474" s="58">
        <f t="shared" si="34"/>
        <v>0.19502851646156305</v>
      </c>
      <c r="I474" cm="1">
        <f t="array" ref="I474">SQRT(MMULT(B474:F474,MMULT($M$273:$Q$277,TRANSPOSE(B474:F474))))</f>
        <v>0.49480536501802036</v>
      </c>
      <c r="J474">
        <f t="shared" si="35"/>
        <v>2.5370923903609679</v>
      </c>
    </row>
    <row r="475" spans="1:10" x14ac:dyDescent="0.35">
      <c r="A475" s="65" t="s">
        <v>220</v>
      </c>
      <c r="B475" s="72">
        <v>1.331514168972958E-2</v>
      </c>
      <c r="C475" s="74">
        <v>0.13484556701696071</v>
      </c>
      <c r="D475" s="68">
        <v>3.2214315783228267E-2</v>
      </c>
      <c r="E475" s="66">
        <v>0.3220780054467311</v>
      </c>
      <c r="F475" s="78">
        <v>6.3356460074157198E-2</v>
      </c>
      <c r="G475" s="81">
        <v>0.43419050998919301</v>
      </c>
      <c r="H475" s="67">
        <f t="shared" si="34"/>
        <v>0.20471214636323479</v>
      </c>
      <c r="I475" s="64" cm="1">
        <f t="array" ref="I475">SQRT(MMULT(B475:F475,MMULT($M$273:$Q$277,TRANSPOSE(B475:F475))))</f>
        <v>0.43658317307981453</v>
      </c>
      <c r="J475" s="68">
        <f t="shared" si="35"/>
        <v>2.132668631714481</v>
      </c>
    </row>
    <row r="476" spans="1:10" x14ac:dyDescent="0.35">
      <c r="A476" s="2" t="s">
        <v>221</v>
      </c>
      <c r="B476" s="71">
        <v>6.8916806494041832E-2</v>
      </c>
      <c r="C476" s="73">
        <v>9.4849984424437317E-2</v>
      </c>
      <c r="D476" s="75">
        <v>0.1410343083717987</v>
      </c>
      <c r="E476">
        <v>0.35496378375735221</v>
      </c>
      <c r="F476" s="77">
        <v>2.3651673129505349E-3</v>
      </c>
      <c r="G476" s="80">
        <v>0.33786994963941952</v>
      </c>
      <c r="H476" s="58">
        <f t="shared" si="34"/>
        <v>0.17831941272162363</v>
      </c>
      <c r="I476" cm="1">
        <f t="array" ref="I476">SQRT(MMULT(B476:F476,MMULT($M$273:$Q$277,TRANSPOSE(B476:F476))))</f>
        <v>0.48442074361894788</v>
      </c>
      <c r="J476">
        <f t="shared" si="35"/>
        <v>2.7165900572765027</v>
      </c>
    </row>
    <row r="477" spans="1:10" x14ac:dyDescent="0.35">
      <c r="A477" s="2" t="s">
        <v>222</v>
      </c>
      <c r="B477" s="71">
        <v>0.1924661071040803</v>
      </c>
      <c r="C477" s="73">
        <v>0.10373126540172541</v>
      </c>
      <c r="D477" s="75">
        <v>3.4040157410923609E-2</v>
      </c>
      <c r="E477">
        <v>1.5189373140723271E-2</v>
      </c>
      <c r="F477" s="77">
        <v>0.28612941908007772</v>
      </c>
      <c r="G477" s="80">
        <v>0.36844367786246979</v>
      </c>
      <c r="H477" s="58">
        <f t="shared" si="34"/>
        <v>0.11888066627690906</v>
      </c>
      <c r="I477" cm="1">
        <f t="array" ref="I477">SQRT(MMULT(B477:F477,MMULT($M$273:$Q$277,TRANSPOSE(B477:F477))))</f>
        <v>0.43298779828677769</v>
      </c>
      <c r="J477">
        <f t="shared" si="35"/>
        <v>3.642205346311048</v>
      </c>
    </row>
    <row r="478" spans="1:10" x14ac:dyDescent="0.35">
      <c r="A478" s="2" t="s">
        <v>223</v>
      </c>
      <c r="B478" s="71">
        <v>0.184069153137884</v>
      </c>
      <c r="C478" s="73">
        <v>4.2345541851383103E-2</v>
      </c>
      <c r="D478" s="75">
        <v>0.17457902073096121</v>
      </c>
      <c r="E478">
        <v>2.4585398282528322E-2</v>
      </c>
      <c r="F478" s="77">
        <v>0.23103429994793259</v>
      </c>
      <c r="G478" s="80">
        <v>0.34338658604931072</v>
      </c>
      <c r="H478" s="58">
        <f t="shared" si="34"/>
        <v>9.0761864468383635E-2</v>
      </c>
      <c r="I478" cm="1">
        <f t="array" ref="I478">SQRT(MMULT(B478:F478,MMULT($M$273:$Q$277,TRANSPOSE(B478:F478))))</f>
        <v>0.39637355338620556</v>
      </c>
      <c r="J478">
        <f t="shared" si="35"/>
        <v>4.3671816980388272</v>
      </c>
    </row>
    <row r="479" spans="1:10" x14ac:dyDescent="0.35">
      <c r="A479" s="2" t="s">
        <v>224</v>
      </c>
      <c r="B479" s="71">
        <v>1.8122287509374529E-2</v>
      </c>
      <c r="C479" s="73">
        <v>0.21792565156747001</v>
      </c>
      <c r="D479" s="75">
        <v>0.16399274311571069</v>
      </c>
      <c r="E479">
        <v>0.23439648920809661</v>
      </c>
      <c r="F479" s="77">
        <v>6.215891791322805E-2</v>
      </c>
      <c r="G479" s="80">
        <v>0.30340391068611988</v>
      </c>
      <c r="H479" s="58">
        <f t="shared" si="34"/>
        <v>0.15682516086292156</v>
      </c>
      <c r="I479" cm="1">
        <f t="array" ref="I479">SQRT(MMULT(B479:F479,MMULT($M$273:$Q$277,TRANSPOSE(B479:F479))))</f>
        <v>0.48779489875954146</v>
      </c>
      <c r="J479">
        <f t="shared" si="35"/>
        <v>3.110437738915603</v>
      </c>
    </row>
    <row r="480" spans="1:10" x14ac:dyDescent="0.35">
      <c r="A480" s="2" t="s">
        <v>225</v>
      </c>
      <c r="B480" s="71">
        <v>5.43327417559724E-2</v>
      </c>
      <c r="C480" s="73">
        <v>0.1073991845161497</v>
      </c>
      <c r="D480" s="75">
        <v>0.29212578379465948</v>
      </c>
      <c r="E480">
        <v>4.1777280885034358E-3</v>
      </c>
      <c r="F480" s="77">
        <v>0.19974222989740001</v>
      </c>
      <c r="G480" s="80">
        <v>0.34222233194731522</v>
      </c>
      <c r="H480" s="58">
        <f t="shared" si="34"/>
        <v>8.0360467038170708E-2</v>
      </c>
      <c r="I480" cm="1">
        <f t="array" ref="I480">SQRT(MMULT(B480:F480,MMULT($M$273:$Q$277,TRANSPOSE(B480:F480))))</f>
        <v>0.42863897029321663</v>
      </c>
      <c r="J480">
        <f t="shared" si="35"/>
        <v>5.3339531997694323</v>
      </c>
    </row>
    <row r="481" spans="1:10" x14ac:dyDescent="0.35">
      <c r="A481" s="2" t="s">
        <v>226</v>
      </c>
      <c r="B481" s="71">
        <v>0.1302216996192419</v>
      </c>
      <c r="C481" s="73">
        <v>0.16319277786600839</v>
      </c>
      <c r="D481" s="75">
        <v>0.148204531956077</v>
      </c>
      <c r="E481">
        <v>3.8059871800932961E-2</v>
      </c>
      <c r="F481" s="77">
        <v>0.21917814037649139</v>
      </c>
      <c r="G481" s="80">
        <v>0.30114297838124843</v>
      </c>
      <c r="H481" s="58">
        <f t="shared" si="34"/>
        <v>0.10667385050197953</v>
      </c>
      <c r="I481" cm="1">
        <f t="array" ref="I481">SQRT(MMULT(B481:F481,MMULT($M$273:$Q$277,TRANSPOSE(B481:F481))))</f>
        <v>0.44512924874392512</v>
      </c>
      <c r="J481">
        <f t="shared" si="35"/>
        <v>4.1728056749546596</v>
      </c>
    </row>
    <row r="482" spans="1:10" x14ac:dyDescent="0.35">
      <c r="A482" s="2" t="s">
        <v>227</v>
      </c>
      <c r="B482" s="71">
        <v>2.3478128391400378E-2</v>
      </c>
      <c r="C482" s="73">
        <v>0.10042348073160109</v>
      </c>
      <c r="D482" s="75">
        <v>6.7906218928387108E-2</v>
      </c>
      <c r="E482">
        <v>0.37219586382444941</v>
      </c>
      <c r="F482" s="77">
        <v>9.5459758243309142E-2</v>
      </c>
      <c r="G482" s="80">
        <v>0.34053654988085291</v>
      </c>
      <c r="H482" s="58">
        <f t="shared" si="34"/>
        <v>0.21090564832583225</v>
      </c>
      <c r="I482" cm="1">
        <f t="array" ref="I482">SQRT(MMULT(B482:F482,MMULT($M$273:$Q$277,TRANSPOSE(B482:F482))))</f>
        <v>0.51642622376024339</v>
      </c>
      <c r="J482">
        <f t="shared" si="35"/>
        <v>2.4486125803629801</v>
      </c>
    </row>
    <row r="483" spans="1:10" x14ac:dyDescent="0.35">
      <c r="A483" s="2" t="s">
        <v>228</v>
      </c>
      <c r="B483" s="71">
        <v>0.15457121156879169</v>
      </c>
      <c r="C483" s="73">
        <v>0.10085202180154899</v>
      </c>
      <c r="D483" s="75">
        <v>4.5558043151706473E-2</v>
      </c>
      <c r="E483">
        <v>0.1226641179759129</v>
      </c>
      <c r="F483" s="77">
        <v>0.21633144316339351</v>
      </c>
      <c r="G483" s="80">
        <v>0.3600231623386464</v>
      </c>
      <c r="H483" s="58">
        <f t="shared" si="34"/>
        <v>0.14338675492939323</v>
      </c>
      <c r="I483" cm="1">
        <f t="array" ref="I483">SQRT(MMULT(B483:F483,MMULT($M$273:$Q$277,TRANSPOSE(B483:F483))))</f>
        <v>0.43679967927933505</v>
      </c>
      <c r="J483">
        <f t="shared" si="35"/>
        <v>3.0463042384523225</v>
      </c>
    </row>
    <row r="484" spans="1:10" x14ac:dyDescent="0.35">
      <c r="A484" s="2" t="s">
        <v>229</v>
      </c>
      <c r="B484" s="71">
        <v>7.084949289008155E-2</v>
      </c>
      <c r="C484" s="73">
        <v>9.1993434424701329E-2</v>
      </c>
      <c r="D484" s="75">
        <v>0.28312038488236713</v>
      </c>
      <c r="E484">
        <v>0.11105324816139089</v>
      </c>
      <c r="F484" s="77">
        <v>2.4034945576764059E-2</v>
      </c>
      <c r="G484" s="80">
        <v>0.41894849406469531</v>
      </c>
      <c r="H484" s="58">
        <f t="shared" si="34"/>
        <v>9.2241826501470003E-2</v>
      </c>
      <c r="I484" cm="1">
        <f t="array" ref="I484">SQRT(MMULT(B484:F484,MMULT($M$273:$Q$277,TRANSPOSE(B484:F484))))</f>
        <v>0.40550291581000075</v>
      </c>
      <c r="J484">
        <f t="shared" si="35"/>
        <v>4.3960850645508245</v>
      </c>
    </row>
    <row r="485" spans="1:10" x14ac:dyDescent="0.35">
      <c r="A485" s="2" t="s">
        <v>230</v>
      </c>
      <c r="B485" s="71">
        <v>0.1096082644699847</v>
      </c>
      <c r="C485" s="73">
        <v>0.26516558082964481</v>
      </c>
      <c r="D485" s="75">
        <v>9.3315570705101533E-2</v>
      </c>
      <c r="E485">
        <v>0.19192619565609981</v>
      </c>
      <c r="F485" s="77">
        <v>1.7923772495720091E-2</v>
      </c>
      <c r="G485" s="80">
        <v>0.32206061584344908</v>
      </c>
      <c r="H485" s="58">
        <f t="shared" si="34"/>
        <v>0.1428674856587665</v>
      </c>
      <c r="I485" cm="1">
        <f t="array" ref="I485">SQRT(MMULT(B485:F485,MMULT($M$273:$Q$277,TRANSPOSE(B485:F485))))</f>
        <v>0.45346248339590806</v>
      </c>
      <c r="J485">
        <f t="shared" si="35"/>
        <v>3.174007586855597</v>
      </c>
    </row>
    <row r="486" spans="1:10" x14ac:dyDescent="0.35">
      <c r="A486" s="2" t="s">
        <v>231</v>
      </c>
      <c r="B486" s="71">
        <v>0.27144944756612249</v>
      </c>
      <c r="C486" s="73">
        <v>7.4494466566918049E-2</v>
      </c>
      <c r="D486" s="75">
        <v>0.1415029376469579</v>
      </c>
      <c r="E486">
        <v>0.13512881489876169</v>
      </c>
      <c r="F486" s="77">
        <v>6.7657600221070494E-2</v>
      </c>
      <c r="G486" s="80">
        <v>0.30976673310016939</v>
      </c>
      <c r="H486" s="58">
        <f t="shared" si="34"/>
        <v>9.8407527281533569E-2</v>
      </c>
      <c r="I486" cm="1">
        <f t="array" ref="I486">SQRT(MMULT(B486:F486,MMULT($M$273:$Q$277,TRANSPOSE(B486:F486))))</f>
        <v>0.44163767722214675</v>
      </c>
      <c r="J486">
        <f t="shared" si="35"/>
        <v>4.4878444710704688</v>
      </c>
    </row>
    <row r="487" spans="1:10" x14ac:dyDescent="0.35">
      <c r="A487" s="2" t="s">
        <v>232</v>
      </c>
      <c r="B487" s="71">
        <v>0.1016069818795643</v>
      </c>
      <c r="C487" s="73">
        <v>0.1822474436365174</v>
      </c>
      <c r="D487" s="75">
        <v>0.15834298228815069</v>
      </c>
      <c r="E487">
        <v>1.446465106479892E-2</v>
      </c>
      <c r="F487" s="77">
        <v>0.17612623229538249</v>
      </c>
      <c r="G487" s="80">
        <v>0.36721170883558618</v>
      </c>
      <c r="H487" s="58">
        <f t="shared" si="34"/>
        <v>0.10000511048045269</v>
      </c>
      <c r="I487" cm="1">
        <f t="array" ref="I487">SQRT(MMULT(B487:F487,MMULT($M$273:$Q$277,TRANSPOSE(B487:F487))))</f>
        <v>0.40626677901603742</v>
      </c>
      <c r="J487">
        <f t="shared" si="35"/>
        <v>4.062460178927032</v>
      </c>
    </row>
    <row r="488" spans="1:10" x14ac:dyDescent="0.35">
      <c r="A488" s="2" t="s">
        <v>233</v>
      </c>
      <c r="B488" s="71">
        <v>0.14434895172923701</v>
      </c>
      <c r="C488" s="73">
        <v>4.3559467710065948E-2</v>
      </c>
      <c r="D488" s="75">
        <v>0.13819720874864561</v>
      </c>
      <c r="E488">
        <v>3.4695842386134462E-2</v>
      </c>
      <c r="F488" s="77">
        <v>0.1557441817253338</v>
      </c>
      <c r="G488" s="80">
        <v>0.4834543477005831</v>
      </c>
      <c r="H488" s="58">
        <f t="shared" si="34"/>
        <v>0.10061344619820048</v>
      </c>
      <c r="I488" cm="1">
        <f t="array" ref="I488">SQRT(MMULT(B488:F488,MMULT($M$273:$Q$277,TRANSPOSE(B488:F488))))</f>
        <v>0.3130616491893129</v>
      </c>
      <c r="J488">
        <f t="shared" si="35"/>
        <v>3.1115289359297602</v>
      </c>
    </row>
    <row r="489" spans="1:10" x14ac:dyDescent="0.35">
      <c r="A489" s="2" t="s">
        <v>234</v>
      </c>
      <c r="B489" s="71">
        <v>0.25893680588158619</v>
      </c>
      <c r="C489" s="73">
        <v>6.6366392583156797E-2</v>
      </c>
      <c r="D489" s="75">
        <v>1.8656082221140541E-3</v>
      </c>
      <c r="E489">
        <v>0.27580613052611058</v>
      </c>
      <c r="F489" s="77">
        <v>9.1621304080335308E-2</v>
      </c>
      <c r="G489" s="80">
        <v>0.30540375870669711</v>
      </c>
      <c r="H489" s="58">
        <f t="shared" si="34"/>
        <v>0.16383098219788991</v>
      </c>
      <c r="I489" cm="1">
        <f t="array" ref="I489">SQRT(MMULT(B489:F489,MMULT($M$273:$Q$277,TRANSPOSE(B489:F489))))</f>
        <v>0.49923960120463101</v>
      </c>
      <c r="J489">
        <f t="shared" si="35"/>
        <v>3.0472844300085082</v>
      </c>
    </row>
    <row r="490" spans="1:10" x14ac:dyDescent="0.35">
      <c r="A490" s="2" t="s">
        <v>235</v>
      </c>
      <c r="B490" s="71">
        <v>5.714574966175047E-2</v>
      </c>
      <c r="C490" s="73">
        <v>0.1550327357522143</v>
      </c>
      <c r="D490" s="75">
        <v>8.9931183123076984E-3</v>
      </c>
      <c r="E490">
        <v>9.9140700166651316E-2</v>
      </c>
      <c r="F490" s="77">
        <v>0.28156473789829539</v>
      </c>
      <c r="G490" s="80">
        <v>0.3981229582087808</v>
      </c>
      <c r="H490" s="58">
        <f t="shared" si="34"/>
        <v>0.16472811376473251</v>
      </c>
      <c r="I490" cm="1">
        <f t="array" ref="I490">SQRT(MMULT(B490:F490,MMULT($M$273:$Q$277,TRANSPOSE(B490:F490))))</f>
        <v>0.46197271946767426</v>
      </c>
      <c r="J490">
        <f t="shared" si="35"/>
        <v>2.8044558327637477</v>
      </c>
    </row>
    <row r="491" spans="1:10" x14ac:dyDescent="0.35">
      <c r="A491" s="2" t="s">
        <v>236</v>
      </c>
      <c r="B491" s="71">
        <v>0.20695582663021311</v>
      </c>
      <c r="C491" s="73">
        <v>2.0821079271755701E-2</v>
      </c>
      <c r="D491" s="75">
        <v>8.2893473839710519E-2</v>
      </c>
      <c r="E491">
        <v>6.5284305376607871E-2</v>
      </c>
      <c r="F491" s="77">
        <v>0.29608302860734109</v>
      </c>
      <c r="G491" s="80">
        <v>0.32796228627437168</v>
      </c>
      <c r="H491" s="58">
        <f t="shared" si="34"/>
        <v>0.12007825144436671</v>
      </c>
      <c r="I491" cm="1">
        <f t="array" ref="I491">SQRT(MMULT(B491:F491,MMULT($M$273:$Q$277,TRANSPOSE(B491:F491))))</f>
        <v>0.44673250212252386</v>
      </c>
      <c r="J491">
        <f t="shared" si="35"/>
        <v>3.7203448313827163</v>
      </c>
    </row>
    <row r="492" spans="1:10" x14ac:dyDescent="0.35">
      <c r="A492" s="2" t="s">
        <v>237</v>
      </c>
      <c r="B492" s="71">
        <v>0.11375219121413239</v>
      </c>
      <c r="C492" s="73">
        <v>0.15602076826216971</v>
      </c>
      <c r="D492" s="75">
        <v>0.1125820796601061</v>
      </c>
      <c r="E492">
        <v>0.2102659744585765</v>
      </c>
      <c r="F492" s="77">
        <v>0.1046404229859457</v>
      </c>
      <c r="G492" s="80">
        <v>0.30273856341906968</v>
      </c>
      <c r="H492" s="58">
        <f t="shared" si="34"/>
        <v>0.14950413703633991</v>
      </c>
      <c r="I492" cm="1">
        <f t="array" ref="I492">SQRT(MMULT(B492:F492,MMULT($M$273:$Q$277,TRANSPOSE(B492:F492))))</f>
        <v>0.46291603825046224</v>
      </c>
      <c r="J492">
        <f t="shared" si="35"/>
        <v>3.0963426660089106</v>
      </c>
    </row>
    <row r="493" spans="1:10" x14ac:dyDescent="0.35">
      <c r="A493" s="2" t="s">
        <v>238</v>
      </c>
      <c r="B493" s="71">
        <v>3.9871751012154663E-2</v>
      </c>
      <c r="C493" s="73">
        <v>0.24487116547900481</v>
      </c>
      <c r="D493" s="75">
        <v>4.5056725883723503E-2</v>
      </c>
      <c r="E493">
        <v>0.25969476359532512</v>
      </c>
      <c r="F493" s="77">
        <v>4.7623866595094669E-2</v>
      </c>
      <c r="G493" s="80">
        <v>0.36288172743469732</v>
      </c>
      <c r="H493" s="58">
        <f t="shared" si="34"/>
        <v>0.18179424757498408</v>
      </c>
      <c r="I493" cm="1">
        <f t="array" ref="I493">SQRT(MMULT(B493:F493,MMULT($M$273:$Q$277,TRANSPOSE(B493:F493))))</f>
        <v>0.45152080342978862</v>
      </c>
      <c r="J493">
        <f t="shared" si="35"/>
        <v>2.4836913678665837</v>
      </c>
    </row>
    <row r="494" spans="1:10" x14ac:dyDescent="0.35">
      <c r="A494" s="2" t="s">
        <v>239</v>
      </c>
      <c r="B494" s="71">
        <v>8.7939553069344201E-2</v>
      </c>
      <c r="C494" s="73">
        <v>0.12984426758737169</v>
      </c>
      <c r="D494" s="75">
        <v>0.23207773924051209</v>
      </c>
      <c r="E494">
        <v>8.0498840223958174E-2</v>
      </c>
      <c r="F494" s="77">
        <v>9.7369539894458915E-2</v>
      </c>
      <c r="G494" s="80">
        <v>0.37227005998435492</v>
      </c>
      <c r="H494" s="58">
        <f t="shared" si="34"/>
        <v>9.7778821368982527E-2</v>
      </c>
      <c r="I494" cm="1">
        <f t="array" ref="I494">SQRT(MMULT(B494:F494,MMULT($M$273:$Q$277,TRANSPOSE(B494:F494))))</f>
        <v>0.40529692812339974</v>
      </c>
      <c r="J494">
        <f t="shared" si="35"/>
        <v>4.1450379790727192</v>
      </c>
    </row>
    <row r="495" spans="1:10" x14ac:dyDescent="0.35">
      <c r="A495" s="2" t="s">
        <v>240</v>
      </c>
      <c r="B495" s="71">
        <v>0.27642518763157431</v>
      </c>
      <c r="C495" s="73">
        <v>4.3187536869294142E-2</v>
      </c>
      <c r="D495" s="75">
        <v>4.1889257311937843E-2</v>
      </c>
      <c r="E495">
        <v>0.14564376438224</v>
      </c>
      <c r="F495" s="77">
        <v>0.1903457973906966</v>
      </c>
      <c r="G495" s="80">
        <v>0.30250845641425722</v>
      </c>
      <c r="H495" s="58">
        <f t="shared" si="34"/>
        <v>0.12903303716488981</v>
      </c>
      <c r="I495" cm="1">
        <f t="array" ref="I495">SQRT(MMULT(B495:F495,MMULT($M$273:$Q$277,TRANSPOSE(B495:F495))))</f>
        <v>0.47614418631592786</v>
      </c>
      <c r="J495">
        <f t="shared" si="35"/>
        <v>3.6900951630509073</v>
      </c>
    </row>
    <row r="496" spans="1:10" x14ac:dyDescent="0.35">
      <c r="A496" s="2" t="s">
        <v>241</v>
      </c>
      <c r="B496" s="71">
        <v>0.27174986334335122</v>
      </c>
      <c r="C496" s="73">
        <v>5.1311053199697186E-3</v>
      </c>
      <c r="D496" s="75">
        <v>1.2326077692135389E-3</v>
      </c>
      <c r="E496">
        <v>0.22974550723605619</v>
      </c>
      <c r="F496" s="77">
        <v>2.204001459979902E-3</v>
      </c>
      <c r="G496" s="80">
        <v>0.4899369148714296</v>
      </c>
      <c r="H496" s="58">
        <f t="shared" si="34"/>
        <v>0.14375945358334674</v>
      </c>
      <c r="I496" cm="1">
        <f t="array" ref="I496">SQRT(MMULT(B496:F496,MMULT($M$273:$Q$277,TRANSPOSE(B496:F496))))</f>
        <v>0.39405220613450648</v>
      </c>
      <c r="J496">
        <f t="shared" si="35"/>
        <v>2.7410524755928396</v>
      </c>
    </row>
    <row r="497" spans="1:10" x14ac:dyDescent="0.35">
      <c r="A497" s="2" t="s">
        <v>242</v>
      </c>
      <c r="B497" s="71">
        <v>8.5214715489803777E-2</v>
      </c>
      <c r="C497" s="73">
        <v>0.3984026967777417</v>
      </c>
      <c r="D497" s="75">
        <v>3.9662657745248041E-2</v>
      </c>
      <c r="E497">
        <v>1.112413975168507E-2</v>
      </c>
      <c r="F497" s="77">
        <v>6.8505677788098397E-3</v>
      </c>
      <c r="G497" s="80">
        <v>0.45874522245671151</v>
      </c>
      <c r="H497" s="58">
        <f t="shared" si="34"/>
        <v>0.11207580969788972</v>
      </c>
      <c r="I497" cm="1">
        <f t="array" ref="I497">SQRT(MMULT(B497:F497,MMULT($M$273:$Q$277,TRANSPOSE(B497:F497))))</f>
        <v>0.44973174428050333</v>
      </c>
      <c r="J497">
        <f t="shared" si="35"/>
        <v>4.0127458859569707</v>
      </c>
    </row>
    <row r="498" spans="1:10" x14ac:dyDescent="0.35">
      <c r="A498" s="2" t="s">
        <v>243</v>
      </c>
      <c r="B498" s="71">
        <v>0.16410152476265069</v>
      </c>
      <c r="C498" s="73">
        <v>9.861435093504721E-2</v>
      </c>
      <c r="D498" s="75">
        <v>0.19296110154047219</v>
      </c>
      <c r="E498">
        <v>8.764827004716326E-2</v>
      </c>
      <c r="F498" s="77">
        <v>9.4733299240286464E-2</v>
      </c>
      <c r="G498" s="80">
        <v>0.36194145347438023</v>
      </c>
      <c r="H498" s="58">
        <f t="shared" si="34"/>
        <v>9.5269390364350767E-2</v>
      </c>
      <c r="I498" cm="1">
        <f t="array" ref="I498">SQRT(MMULT(B498:F498,MMULT($M$273:$Q$277,TRANSPOSE(B498:F498))))</f>
        <v>0.39558861038900756</v>
      </c>
      <c r="J498">
        <f t="shared" si="35"/>
        <v>4.1523159629352939</v>
      </c>
    </row>
    <row r="499" spans="1:10" x14ac:dyDescent="0.35">
      <c r="A499" s="2" t="s">
        <v>244</v>
      </c>
      <c r="B499" s="71">
        <v>0.1457763364459998</v>
      </c>
      <c r="C499" s="73">
        <v>6.1991430111396843E-2</v>
      </c>
      <c r="D499" s="75">
        <v>8.5427953807287293E-2</v>
      </c>
      <c r="E499">
        <v>0.1133940843739047</v>
      </c>
      <c r="F499" s="77">
        <v>0.14020568109170201</v>
      </c>
      <c r="G499" s="80">
        <v>0.45320451416970942</v>
      </c>
      <c r="H499" s="58">
        <f t="shared" si="34"/>
        <v>0.12878727426187947</v>
      </c>
      <c r="I499" cm="1">
        <f t="array" ref="I499">SQRT(MMULT(B499:F499,MMULT($M$273:$Q$277,TRANSPOSE(B499:F499))))</f>
        <v>0.35413987025428334</v>
      </c>
      <c r="J499">
        <f t="shared" si="35"/>
        <v>2.7498048412311755</v>
      </c>
    </row>
    <row r="500" spans="1:10" x14ac:dyDescent="0.35">
      <c r="A500" s="2" t="s">
        <v>245</v>
      </c>
      <c r="B500" s="71">
        <v>1.9518503134847279E-2</v>
      </c>
      <c r="C500" s="73">
        <v>0.12651664162451479</v>
      </c>
      <c r="D500" s="75">
        <v>1.397543193533483E-2</v>
      </c>
      <c r="E500">
        <v>0.41200702252928512</v>
      </c>
      <c r="F500" s="77">
        <v>0.10297607101574351</v>
      </c>
      <c r="G500" s="80">
        <v>0.32500632976027449</v>
      </c>
      <c r="H500" s="58">
        <f t="shared" si="34"/>
        <v>0.23238539098885147</v>
      </c>
      <c r="I500" cm="1">
        <f t="array" ref="I500">SQRT(MMULT(B500:F500,MMULT($M$273:$Q$277,TRANSPOSE(B500:F500))))</f>
        <v>0.54515531215692037</v>
      </c>
      <c r="J500">
        <f t="shared" si="35"/>
        <v>2.3459104285220485</v>
      </c>
    </row>
    <row r="501" spans="1:10" x14ac:dyDescent="0.35">
      <c r="A501" s="2" t="s">
        <v>246</v>
      </c>
      <c r="B501" s="71">
        <v>6.9897595972641696E-2</v>
      </c>
      <c r="C501" s="73">
        <v>2.3917051589255039E-2</v>
      </c>
      <c r="D501" s="75">
        <v>0.27791964277868531</v>
      </c>
      <c r="E501">
        <v>0.1992059723537295</v>
      </c>
      <c r="F501" s="77">
        <v>0.1098092883019503</v>
      </c>
      <c r="G501" s="80">
        <v>0.31925044900373811</v>
      </c>
      <c r="H501" s="58">
        <f t="shared" si="34"/>
        <v>0.121507405626642</v>
      </c>
      <c r="I501" cm="1">
        <f t="array" ref="I501">SQRT(MMULT(B501:F501,MMULT($M$273:$Q$277,TRANSPOSE(B501:F501))))</f>
        <v>0.4821696027847846</v>
      </c>
      <c r="J501">
        <f t="shared" si="35"/>
        <v>3.9682322266541994</v>
      </c>
    </row>
    <row r="502" spans="1:10" x14ac:dyDescent="0.35">
      <c r="A502" s="2" t="s">
        <v>247</v>
      </c>
      <c r="B502" s="71">
        <v>0.24563422782951139</v>
      </c>
      <c r="C502" s="73">
        <v>1.4896610107301349E-2</v>
      </c>
      <c r="D502" s="75">
        <v>0.1086939214919713</v>
      </c>
      <c r="E502">
        <v>0.21829602063314749</v>
      </c>
      <c r="F502" s="77">
        <v>0.1118824005127585</v>
      </c>
      <c r="G502" s="80">
        <v>0.30059681942530969</v>
      </c>
      <c r="H502" s="58">
        <f t="shared" si="34"/>
        <v>0.13244901308199855</v>
      </c>
      <c r="I502" cm="1">
        <f t="array" ref="I502">SQRT(MMULT(B502:F502,MMULT($M$273:$Q$277,TRANSPOSE(B502:F502))))</f>
        <v>0.47161367212316779</v>
      </c>
      <c r="J502">
        <f t="shared" si="35"/>
        <v>3.5607186580634922</v>
      </c>
    </row>
    <row r="503" spans="1:10" x14ac:dyDescent="0.35">
      <c r="A503" s="2" t="s">
        <v>248</v>
      </c>
      <c r="B503" s="71">
        <v>5.8356559130080733E-2</v>
      </c>
      <c r="C503" s="73">
        <v>9.2265011100316749E-2</v>
      </c>
      <c r="D503" s="75">
        <v>7.2719438852484636E-2</v>
      </c>
      <c r="E503">
        <v>3.6152288139833823E-2</v>
      </c>
      <c r="F503" s="77">
        <v>0.37137264765181782</v>
      </c>
      <c r="G503" s="80">
        <v>0.36913405512546632</v>
      </c>
      <c r="H503" s="58">
        <f t="shared" si="34"/>
        <v>0.14351994400531132</v>
      </c>
      <c r="I503" cm="1">
        <f t="array" ref="I503">SQRT(MMULT(B503:F503,MMULT($M$273:$Q$277,TRANSPOSE(B503:F503))))</f>
        <v>0.47064437222611222</v>
      </c>
      <c r="J503">
        <f t="shared" si="35"/>
        <v>3.2792959577011458</v>
      </c>
    </row>
    <row r="504" spans="1:10" x14ac:dyDescent="0.35">
      <c r="A504" s="2" t="s">
        <v>249</v>
      </c>
      <c r="B504" s="71">
        <v>5.5681046212773748E-2</v>
      </c>
      <c r="C504" s="73">
        <v>8.5908181064719105E-2</v>
      </c>
      <c r="D504" s="75">
        <v>0.16836322028368131</v>
      </c>
      <c r="E504">
        <v>0.28166610726887881</v>
      </c>
      <c r="F504" s="77">
        <v>4.0950508427178373E-2</v>
      </c>
      <c r="G504" s="80">
        <v>0.3674309367427685</v>
      </c>
      <c r="H504" s="58">
        <f t="shared" si="34"/>
        <v>0.16001619247547311</v>
      </c>
      <c r="I504" cm="1">
        <f t="array" ref="I504">SQRT(MMULT(B504:F504,MMULT($M$273:$Q$277,TRANSPOSE(B504:F504))))</f>
        <v>0.45411248619016653</v>
      </c>
      <c r="J504">
        <f t="shared" si="35"/>
        <v>2.8379158331727696</v>
      </c>
    </row>
    <row r="505" spans="1:10" x14ac:dyDescent="0.35">
      <c r="A505" s="2" t="s">
        <v>250</v>
      </c>
      <c r="B505" s="71">
        <v>6.7554244823263956E-2</v>
      </c>
      <c r="C505" s="73">
        <v>0.29288681958095408</v>
      </c>
      <c r="D505" s="75">
        <v>4.456681370367041E-2</v>
      </c>
      <c r="E505">
        <v>0.1702686983318108</v>
      </c>
      <c r="F505" s="77">
        <v>4.8093887870316952E-2</v>
      </c>
      <c r="G505" s="80">
        <v>0.37662953568998381</v>
      </c>
      <c r="H505" s="58">
        <f t="shared" si="34"/>
        <v>0.15584653174373322</v>
      </c>
      <c r="I505" cm="1">
        <f t="array" ref="I505">SQRT(MMULT(B505:F505,MMULT($M$273:$Q$277,TRANSPOSE(B505:F505))))</f>
        <v>0.43735794633517244</v>
      </c>
      <c r="J505">
        <f t="shared" si="35"/>
        <v>2.8063373720394593</v>
      </c>
    </row>
    <row r="506" spans="1:10" x14ac:dyDescent="0.35">
      <c r="A506" s="2" t="s">
        <v>251</v>
      </c>
      <c r="B506" s="71">
        <v>5.7186278026160518E-2</v>
      </c>
      <c r="C506" s="73">
        <v>0.20480593909228489</v>
      </c>
      <c r="D506" s="75">
        <v>0.26729169835601713</v>
      </c>
      <c r="E506">
        <v>1.557663753005357E-2</v>
      </c>
      <c r="F506" s="77">
        <v>0.1542411827140206</v>
      </c>
      <c r="G506" s="80">
        <v>0.30089826428146332</v>
      </c>
      <c r="H506" s="58">
        <f t="shared" si="34"/>
        <v>8.4179289240919969E-2</v>
      </c>
      <c r="I506" cm="1">
        <f t="array" ref="I506">SQRT(MMULT(B506:F506,MMULT($M$273:$Q$277,TRANSPOSE(B506:F506))))</f>
        <v>0.46476043688324431</v>
      </c>
      <c r="J506">
        <f t="shared" si="35"/>
        <v>5.5210781781859231</v>
      </c>
    </row>
    <row r="507" spans="1:10" x14ac:dyDescent="0.35">
      <c r="A507" s="2" t="s">
        <v>252</v>
      </c>
      <c r="B507" s="71">
        <v>0.29339640865372257</v>
      </c>
      <c r="C507" s="73">
        <v>0.15864887298796099</v>
      </c>
      <c r="D507" s="75">
        <v>7.6742547968149E-2</v>
      </c>
      <c r="E507">
        <v>9.3948224667182501E-2</v>
      </c>
      <c r="F507" s="77">
        <v>2.7022741484822269E-2</v>
      </c>
      <c r="G507" s="80">
        <v>0.35024120423816257</v>
      </c>
      <c r="H507" s="58">
        <f t="shared" si="34"/>
        <v>9.4566078050098187E-2</v>
      </c>
      <c r="I507" cm="1">
        <f t="array" ref="I507">SQRT(MMULT(B507:F507,MMULT($M$273:$Q$277,TRANSPOSE(B507:F507))))</f>
        <v>0.43822302955457815</v>
      </c>
      <c r="J507">
        <f t="shared" si="35"/>
        <v>4.6340404359628948</v>
      </c>
    </row>
    <row r="508" spans="1:10" x14ac:dyDescent="0.35">
      <c r="A508" s="2" t="s">
        <v>253</v>
      </c>
      <c r="B508" s="71">
        <v>5.9075811874825059E-2</v>
      </c>
      <c r="C508" s="73">
        <v>0.24437581610139811</v>
      </c>
      <c r="D508" s="75">
        <v>7.1473809533487573E-2</v>
      </c>
      <c r="E508">
        <v>5.0569862477074623E-2</v>
      </c>
      <c r="F508" s="77">
        <v>0.26324843303725309</v>
      </c>
      <c r="G508" s="80">
        <v>0.31125626697596143</v>
      </c>
      <c r="H508" s="58">
        <f t="shared" si="34"/>
        <v>0.13905968739823252</v>
      </c>
      <c r="I508" cm="1">
        <f t="array" ref="I508">SQRT(MMULT(B508:F508,MMULT($M$273:$Q$277,TRANSPOSE(B508:F508))))</f>
        <v>0.4955833432441093</v>
      </c>
      <c r="J508">
        <f t="shared" si="35"/>
        <v>3.5638174694358495</v>
      </c>
    </row>
    <row r="509" spans="1:10" x14ac:dyDescent="0.35">
      <c r="A509" s="2" t="s">
        <v>254</v>
      </c>
      <c r="B509" s="71">
        <v>0.34495333227867581</v>
      </c>
      <c r="C509" s="73">
        <v>6.6657217240581861E-3</v>
      </c>
      <c r="D509" s="75">
        <v>7.8577248257018353E-2</v>
      </c>
      <c r="E509">
        <v>9.5604135174991903E-2</v>
      </c>
      <c r="F509" s="77">
        <v>7.240171615117949E-2</v>
      </c>
      <c r="G509" s="80">
        <v>0.40179784641407629</v>
      </c>
      <c r="H509" s="58">
        <f t="shared" si="34"/>
        <v>9.0032703340360731E-2</v>
      </c>
      <c r="I509" cm="1">
        <f t="array" ref="I509">SQRT(MMULT(B509:F509,MMULT($M$273:$Q$277,TRANSPOSE(B509:F509))))</f>
        <v>0.41887709492973052</v>
      </c>
      <c r="J509">
        <f t="shared" si="35"/>
        <v>4.6524993628837557</v>
      </c>
    </row>
    <row r="510" spans="1:10" x14ac:dyDescent="0.35">
      <c r="A510" s="2" t="s">
        <v>255</v>
      </c>
      <c r="B510" s="71">
        <v>0.12922763004374649</v>
      </c>
      <c r="C510" s="73">
        <v>7.3346529879384517E-2</v>
      </c>
      <c r="D510" s="75">
        <v>0.21706917629645969</v>
      </c>
      <c r="E510">
        <v>0.22034509314574699</v>
      </c>
      <c r="F510" s="77">
        <v>2.357175339934019E-2</v>
      </c>
      <c r="G510" s="80">
        <v>0.33643981723532213</v>
      </c>
      <c r="H510" s="58">
        <f t="shared" si="34"/>
        <v>0.1229058826456858</v>
      </c>
      <c r="I510" cm="1">
        <f t="array" ref="I510">SQRT(MMULT(B510:F510,MMULT($M$273:$Q$277,TRANSPOSE(B510:F510))))</f>
        <v>0.44757455662493384</v>
      </c>
      <c r="J510">
        <f t="shared" si="35"/>
        <v>3.6416040224470447</v>
      </c>
    </row>
    <row r="511" spans="1:10" x14ac:dyDescent="0.35">
      <c r="A511" s="2" t="s">
        <v>256</v>
      </c>
      <c r="B511" s="71">
        <v>9.2577607163231795E-2</v>
      </c>
      <c r="C511" s="73">
        <v>4.4999688204472699E-2</v>
      </c>
      <c r="D511" s="75">
        <v>0.11786978460072189</v>
      </c>
      <c r="E511">
        <v>0.15687262631794521</v>
      </c>
      <c r="F511" s="77">
        <v>0.26662792091807908</v>
      </c>
      <c r="G511" s="80">
        <v>0.32105237279554938</v>
      </c>
      <c r="H511" s="58">
        <f t="shared" si="34"/>
        <v>0.15094871151479874</v>
      </c>
      <c r="I511" cm="1">
        <f t="array" ref="I511">SQRT(MMULT(B511:F511,MMULT($M$273:$Q$277,TRANSPOSE(B511:F511))))</f>
        <v>0.47837140599888345</v>
      </c>
      <c r="J511">
        <f t="shared" si="35"/>
        <v>3.1690989687711562</v>
      </c>
    </row>
    <row r="512" spans="1:10" x14ac:dyDescent="0.35">
      <c r="A512" s="2" t="s">
        <v>257</v>
      </c>
      <c r="B512" s="71">
        <v>8.6213844148395738E-2</v>
      </c>
      <c r="C512" s="73">
        <v>0.11312721582028989</v>
      </c>
      <c r="D512" s="75">
        <v>0.1124231168630813</v>
      </c>
      <c r="E512">
        <v>0.30510809126814481</v>
      </c>
      <c r="F512" s="77">
        <v>7.1326413220989884E-2</v>
      </c>
      <c r="G512" s="80">
        <v>0.31180131867909838</v>
      </c>
      <c r="H512" s="58">
        <f t="shared" si="34"/>
        <v>0.17436381655259087</v>
      </c>
      <c r="I512" cm="1">
        <f t="array" ref="I512">SQRT(MMULT(B512:F512,MMULT($M$273:$Q$277,TRANSPOSE(B512:F512))))</f>
        <v>0.48480592733613692</v>
      </c>
      <c r="J512">
        <f t="shared" si="35"/>
        <v>2.7804273668781034</v>
      </c>
    </row>
    <row r="513" spans="1:10" x14ac:dyDescent="0.35">
      <c r="A513" s="2" t="s">
        <v>258</v>
      </c>
      <c r="B513" s="71">
        <v>5.8158381274914014E-3</v>
      </c>
      <c r="C513" s="73">
        <v>0.2328121633716192</v>
      </c>
      <c r="D513" s="75">
        <v>0.1412988349031935</v>
      </c>
      <c r="E513">
        <v>8.6506646363113476E-2</v>
      </c>
      <c r="F513" s="77">
        <v>0.19296894945623921</v>
      </c>
      <c r="G513" s="80">
        <v>0.3405975677783431</v>
      </c>
      <c r="H513" s="58">
        <f t="shared" si="34"/>
        <v>0.13697763604782082</v>
      </c>
      <c r="I513" cm="1">
        <f t="array" ref="I513">SQRT(MMULT(B513:F513,MMULT($M$273:$Q$277,TRANSPOSE(B513:F513))))</f>
        <v>0.46865173609506128</v>
      </c>
      <c r="J513">
        <f t="shared" si="35"/>
        <v>3.4213740988452188</v>
      </c>
    </row>
    <row r="514" spans="1:10" x14ac:dyDescent="0.35">
      <c r="A514" s="2" t="s">
        <v>259</v>
      </c>
      <c r="B514" s="71">
        <v>0.20855769050507561</v>
      </c>
      <c r="C514" s="73">
        <v>3.0880548827790701E-2</v>
      </c>
      <c r="D514" s="75">
        <v>6.8435485628400988E-2</v>
      </c>
      <c r="E514">
        <v>0.18692933342730969</v>
      </c>
      <c r="F514" s="77">
        <v>7.8975406258610631E-2</v>
      </c>
      <c r="G514" s="80">
        <v>0.42622153535281238</v>
      </c>
      <c r="H514" s="58">
        <f t="shared" si="34"/>
        <v>0.13576868801107506</v>
      </c>
      <c r="I514" cm="1">
        <f t="array" ref="I514">SQRT(MMULT(B514:F514,MMULT($M$273:$Q$277,TRANSPOSE(B514:F514))))</f>
        <v>0.38917736499050859</v>
      </c>
      <c r="J514">
        <f t="shared" si="35"/>
        <v>2.8664736375648134</v>
      </c>
    </row>
    <row r="515" spans="1:10" x14ac:dyDescent="0.35">
      <c r="A515" s="2" t="s">
        <v>260</v>
      </c>
      <c r="B515" s="71">
        <v>5.401283314938439E-2</v>
      </c>
      <c r="C515" s="73">
        <v>0.1697155581799486</v>
      </c>
      <c r="D515" s="75">
        <v>0.16276947031632011</v>
      </c>
      <c r="E515">
        <v>2.394310562839632E-2</v>
      </c>
      <c r="F515" s="77">
        <v>0.25119911629581582</v>
      </c>
      <c r="G515" s="80">
        <v>0.3383599164301348</v>
      </c>
      <c r="H515" s="58">
        <f t="shared" si="34"/>
        <v>0.11449760062525943</v>
      </c>
      <c r="I515" cm="1">
        <f t="array" ref="I515">SQRT(MMULT(B515:F515,MMULT($M$273:$Q$277,TRANSPOSE(B515:F515))))</f>
        <v>0.44352299523982208</v>
      </c>
      <c r="J515">
        <f t="shared" si="35"/>
        <v>3.8736444503447176</v>
      </c>
    </row>
    <row r="516" spans="1:10" x14ac:dyDescent="0.35">
      <c r="A516" s="2" t="s">
        <v>261</v>
      </c>
      <c r="B516" s="71">
        <v>0.1469468071737671</v>
      </c>
      <c r="C516" s="73">
        <v>0.16719845535279251</v>
      </c>
      <c r="D516" s="75">
        <v>4.8100318274950198E-2</v>
      </c>
      <c r="E516">
        <v>2.9053837779333729E-2</v>
      </c>
      <c r="F516" s="77">
        <v>0.26915398807085139</v>
      </c>
      <c r="G516" s="80">
        <v>0.33954659334830511</v>
      </c>
      <c r="H516" s="58">
        <f t="shared" si="34"/>
        <v>0.12526915943460176</v>
      </c>
      <c r="I516" cm="1">
        <f t="array" ref="I516">SQRT(MMULT(B516:F516,MMULT($M$273:$Q$277,TRANSPOSE(B516:F516))))</f>
        <v>0.45384810099411665</v>
      </c>
      <c r="J516">
        <f t="shared" si="35"/>
        <v>3.6229835263726935</v>
      </c>
    </row>
    <row r="517" spans="1:10" x14ac:dyDescent="0.35">
      <c r="A517" s="2" t="s">
        <v>262</v>
      </c>
      <c r="B517" s="71">
        <v>6.6997475045231278E-2</v>
      </c>
      <c r="C517" s="73">
        <v>7.3411987310715229E-2</v>
      </c>
      <c r="D517" s="75">
        <v>0.2145900939122268</v>
      </c>
      <c r="E517">
        <v>9.1429550380949312E-2</v>
      </c>
      <c r="F517" s="77">
        <v>0.21905537572932651</v>
      </c>
      <c r="G517" s="80">
        <v>0.33451551762155102</v>
      </c>
      <c r="H517" s="58">
        <f t="shared" si="34"/>
        <v>0.11635354025056271</v>
      </c>
      <c r="I517" cm="1">
        <f t="array" ref="I517">SQRT(MMULT(B517:F517,MMULT($M$273:$Q$277,TRANSPOSE(B517:F517))))</f>
        <v>0.43919781511060596</v>
      </c>
      <c r="J517">
        <f t="shared" si="35"/>
        <v>3.7746837282717052</v>
      </c>
    </row>
    <row r="518" spans="1:10" x14ac:dyDescent="0.35">
      <c r="A518" s="2" t="s">
        <v>263</v>
      </c>
      <c r="B518" s="71">
        <v>9.3307703779076004E-2</v>
      </c>
      <c r="C518" s="73">
        <v>0.1131012117782406</v>
      </c>
      <c r="D518" s="75">
        <v>0.1625475854296925</v>
      </c>
      <c r="E518">
        <v>0.18928598224734969</v>
      </c>
      <c r="F518" s="77">
        <v>0.14100954857800951</v>
      </c>
      <c r="G518" s="80">
        <v>0.30074796818763172</v>
      </c>
      <c r="H518" s="58">
        <f t="shared" si="34"/>
        <v>0.14049489711223401</v>
      </c>
      <c r="I518" cm="1">
        <f t="array" ref="I518">SQRT(MMULT(B518:F518,MMULT($M$273:$Q$277,TRANSPOSE(B518:F518))))</f>
        <v>0.46596623455940062</v>
      </c>
      <c r="J518">
        <f t="shared" si="35"/>
        <v>3.3166061126559252</v>
      </c>
    </row>
    <row r="519" spans="1:10" x14ac:dyDescent="0.35">
      <c r="A519" s="2" t="s">
        <v>264</v>
      </c>
      <c r="B519" s="71">
        <v>0.15849815226819089</v>
      </c>
      <c r="C519" s="73">
        <v>0.3878565345847913</v>
      </c>
      <c r="D519" s="75">
        <v>8.7573781122356045E-2</v>
      </c>
      <c r="E519">
        <v>1.279591834283305E-2</v>
      </c>
      <c r="F519" s="77">
        <v>3.8283571722386188E-2</v>
      </c>
      <c r="G519" s="80">
        <v>0.31499204195944253</v>
      </c>
      <c r="H519" s="58">
        <f t="shared" si="34"/>
        <v>9.4348458931229673E-2</v>
      </c>
      <c r="I519" cm="1">
        <f t="array" ref="I519">SQRT(MMULT(B519:F519,MMULT($M$273:$Q$277,TRANSPOSE(B519:F519))))</f>
        <v>0.50965280870912988</v>
      </c>
      <c r="J519">
        <f t="shared" si="35"/>
        <v>5.4018138132029732</v>
      </c>
    </row>
    <row r="520" spans="1:10" x14ac:dyDescent="0.35">
      <c r="A520" s="2" t="s">
        <v>265</v>
      </c>
      <c r="B520" s="71">
        <v>7.3105737487245928E-2</v>
      </c>
      <c r="C520" s="73">
        <v>0.1235949166167658</v>
      </c>
      <c r="D520" s="75">
        <v>0.14895272179860469</v>
      </c>
      <c r="E520">
        <v>0.2207574376680996</v>
      </c>
      <c r="F520" s="77">
        <v>0.1307706288266067</v>
      </c>
      <c r="G520" s="80">
        <v>0.30281855760267717</v>
      </c>
      <c r="H520" s="58">
        <f t="shared" si="34"/>
        <v>0.15316834897725995</v>
      </c>
      <c r="I520" cm="1">
        <f t="array" ref="I520">SQRT(MMULT(B520:F520,MMULT($M$273:$Q$277,TRANSPOSE(B520:F520))))</f>
        <v>0.47641645032909591</v>
      </c>
      <c r="J520">
        <f t="shared" si="35"/>
        <v>3.11041056138711</v>
      </c>
    </row>
    <row r="521" spans="1:10" x14ac:dyDescent="0.35">
      <c r="A521" s="2" t="s">
        <v>266</v>
      </c>
      <c r="B521" s="71">
        <v>0.36178526128439381</v>
      </c>
      <c r="C521" s="73">
        <v>4.5214165303180683E-2</v>
      </c>
      <c r="D521" s="75">
        <v>0.19786674523553971</v>
      </c>
      <c r="E521">
        <v>1.827820878188589E-2</v>
      </c>
      <c r="F521" s="77">
        <v>3.7936370445973311E-2</v>
      </c>
      <c r="G521" s="80">
        <v>0.33891924894902659</v>
      </c>
      <c r="H521" s="58">
        <f t="shared" si="34"/>
        <v>4.2664692324117855E-2</v>
      </c>
      <c r="I521" cm="1">
        <f t="array" ref="I521">SQRT(MMULT(B521:F521,MMULT($M$273:$Q$277,TRANSPOSE(B521:F521))))</f>
        <v>0.44361662593607953</v>
      </c>
      <c r="J521">
        <f t="shared" si="35"/>
        <v>10.397745812063626</v>
      </c>
    </row>
    <row r="522" spans="1:10" x14ac:dyDescent="0.35">
      <c r="A522" s="2" t="s">
        <v>267</v>
      </c>
      <c r="B522" s="71">
        <v>4.0557848643105299E-2</v>
      </c>
      <c r="C522" s="73">
        <v>0.2331399741865243</v>
      </c>
      <c r="D522" s="75">
        <v>0.13690936483156871</v>
      </c>
      <c r="E522">
        <v>0.17364282670262929</v>
      </c>
      <c r="F522" s="77">
        <v>7.122094330092997E-2</v>
      </c>
      <c r="G522" s="80">
        <v>0.34452904233524229</v>
      </c>
      <c r="H522" s="58">
        <f t="shared" si="34"/>
        <v>0.14450652965522404</v>
      </c>
      <c r="I522" cm="1">
        <f t="array" ref="I522">SQRT(MMULT(B522:F522,MMULT($M$273:$Q$277,TRANSPOSE(B522:F522))))</f>
        <v>0.44821615741546139</v>
      </c>
      <c r="J522">
        <f t="shared" si="35"/>
        <v>3.1017017603623422</v>
      </c>
    </row>
    <row r="523" spans="1:10" x14ac:dyDescent="0.35">
      <c r="A523" s="2" t="s">
        <v>268</v>
      </c>
      <c r="B523" s="71">
        <v>0.40373875054023961</v>
      </c>
      <c r="C523" s="73">
        <v>0.1197960796684972</v>
      </c>
      <c r="D523" s="75">
        <v>3.4177425384647589E-2</v>
      </c>
      <c r="E523">
        <v>1.005163880923826E-2</v>
      </c>
      <c r="F523" s="77">
        <v>7.488034195829725E-2</v>
      </c>
      <c r="G523" s="80">
        <v>0.35735576363907989</v>
      </c>
      <c r="H523" s="58">
        <f t="shared" si="34"/>
        <v>6.9072786138941425E-2</v>
      </c>
      <c r="I523" cm="1">
        <f t="array" ref="I523">SQRT(MMULT(B523:F523,MMULT($M$273:$Q$277,TRANSPOSE(B523:F523))))</f>
        <v>0.4814200512477631</v>
      </c>
      <c r="J523">
        <f t="shared" si="35"/>
        <v>6.9697500008089452</v>
      </c>
    </row>
    <row r="524" spans="1:10" x14ac:dyDescent="0.35">
      <c r="A524" s="2" t="s">
        <v>269</v>
      </c>
      <c r="B524" s="71">
        <v>0.1527311635914507</v>
      </c>
      <c r="C524" s="73">
        <v>0.2820017503098477</v>
      </c>
      <c r="D524" s="75">
        <v>0.15871008466397829</v>
      </c>
      <c r="E524">
        <v>5.4606484119210574E-3</v>
      </c>
      <c r="F524" s="77">
        <v>6.8236590436169586E-2</v>
      </c>
      <c r="G524" s="80">
        <v>0.33285976258663258</v>
      </c>
      <c r="H524" s="58">
        <f t="shared" si="34"/>
        <v>8.1740063595517526E-2</v>
      </c>
      <c r="I524" cm="1">
        <f t="array" ref="I524">SQRT(MMULT(B524:F524,MMULT($M$273:$Q$277,TRANSPOSE(B524:F524))))</f>
        <v>0.45216310829692796</v>
      </c>
      <c r="J524">
        <f t="shared" si="35"/>
        <v>5.5317195559623196</v>
      </c>
    </row>
    <row r="525" spans="1:10" x14ac:dyDescent="0.35">
      <c r="A525" s="2" t="s">
        <v>270</v>
      </c>
      <c r="B525" s="71">
        <v>9.1601397154434799E-2</v>
      </c>
      <c r="C525" s="73">
        <v>0.1363134765356874</v>
      </c>
      <c r="D525" s="75">
        <v>1.9808027553760231E-2</v>
      </c>
      <c r="E525">
        <v>0.27257578014692863</v>
      </c>
      <c r="F525" s="77">
        <v>0.16809233724229711</v>
      </c>
      <c r="G525" s="80">
        <v>0.31160898136689169</v>
      </c>
      <c r="H525" s="58">
        <f t="shared" si="34"/>
        <v>0.19109129866293273</v>
      </c>
      <c r="I525" cm="1">
        <f t="array" ref="I525">SQRT(MMULT(B525:F525,MMULT($M$273:$Q$277,TRANSPOSE(B525:F525))))</f>
        <v>0.50627125500201398</v>
      </c>
      <c r="J525">
        <f t="shared" si="35"/>
        <v>2.6493684356346825</v>
      </c>
    </row>
    <row r="526" spans="1:10" x14ac:dyDescent="0.35">
      <c r="A526" s="2" t="s">
        <v>271</v>
      </c>
      <c r="B526" s="71">
        <v>0.12691539702007409</v>
      </c>
      <c r="C526" s="73">
        <v>4.9881706241633468E-2</v>
      </c>
      <c r="D526" s="75">
        <v>0.15771480517875441</v>
      </c>
      <c r="E526">
        <v>0.10844620725257161</v>
      </c>
      <c r="F526" s="77">
        <v>0.11744945144088489</v>
      </c>
      <c r="G526" s="80">
        <v>0.43959243286608157</v>
      </c>
      <c r="H526" s="58">
        <f t="shared" si="34"/>
        <v>0.11460475221101088</v>
      </c>
      <c r="I526" cm="1">
        <f t="array" ref="I526">SQRT(MMULT(B526:F526,MMULT($M$273:$Q$277,TRANSPOSE(B526:F526))))</f>
        <v>0.3549207966195127</v>
      </c>
      <c r="J526">
        <f t="shared" si="35"/>
        <v>3.0969116879728569</v>
      </c>
    </row>
    <row r="527" spans="1:10" x14ac:dyDescent="0.35">
      <c r="A527" s="2" t="s">
        <v>272</v>
      </c>
      <c r="B527" s="71">
        <v>0.1379832328041932</v>
      </c>
      <c r="C527" s="73">
        <v>6.2947548677025469E-2</v>
      </c>
      <c r="D527" s="75">
        <v>5.0564906697208901E-2</v>
      </c>
      <c r="E527">
        <v>3.6408911699734668E-2</v>
      </c>
      <c r="F527" s="77">
        <v>0.37927240039603399</v>
      </c>
      <c r="G527" s="80">
        <v>0.3328229997258037</v>
      </c>
      <c r="H527" s="58">
        <f t="shared" si="34"/>
        <v>0.13629894863790154</v>
      </c>
      <c r="I527" cm="1">
        <f t="array" ref="I527">SQRT(MMULT(B527:F527,MMULT($M$273:$Q$277,TRANSPOSE(B527:F527))))</f>
        <v>0.48107758251104304</v>
      </c>
      <c r="J527">
        <f t="shared" si="35"/>
        <v>3.52957662049982</v>
      </c>
    </row>
    <row r="528" spans="1:10" x14ac:dyDescent="0.35">
      <c r="A528" s="2" t="s">
        <v>273</v>
      </c>
      <c r="B528" s="71">
        <v>2.8339975561600698E-3</v>
      </c>
      <c r="C528" s="73">
        <v>0.16513108836770601</v>
      </c>
      <c r="D528" s="75">
        <v>5.4877705127429982E-2</v>
      </c>
      <c r="E528">
        <v>0.31638124812787349</v>
      </c>
      <c r="F528" s="77">
        <v>5.4068263568852817E-2</v>
      </c>
      <c r="G528" s="80">
        <v>0.40670769725197781</v>
      </c>
      <c r="H528" s="58">
        <f t="shared" si="34"/>
        <v>0.19982524694633358</v>
      </c>
      <c r="I528" cm="1">
        <f t="array" ref="I528">SQRT(MMULT(B528:F528,MMULT($M$273:$Q$277,TRANSPOSE(B528:F528))))</f>
        <v>0.44764918796998737</v>
      </c>
      <c r="J528">
        <f t="shared" si="35"/>
        <v>2.2402033517326823</v>
      </c>
    </row>
    <row r="529" spans="1:10" x14ac:dyDescent="0.35">
      <c r="A529" s="2" t="s">
        <v>274</v>
      </c>
      <c r="B529" s="71">
        <v>0.2023180292424831</v>
      </c>
      <c r="C529" s="73">
        <v>2.432543815696947E-2</v>
      </c>
      <c r="D529" s="75">
        <v>0.13413631046189251</v>
      </c>
      <c r="E529">
        <v>0.1023158912389056</v>
      </c>
      <c r="F529" s="77">
        <v>0.1444297352669727</v>
      </c>
      <c r="G529" s="80">
        <v>0.39247459563277659</v>
      </c>
      <c r="H529" s="58">
        <f t="shared" si="34"/>
        <v>0.10821432860820854</v>
      </c>
      <c r="I529" cm="1">
        <f t="array" ref="I529">SQRT(MMULT(B529:F529,MMULT($M$273:$Q$277,TRANSPOSE(B529:F529))))</f>
        <v>0.38245023864340394</v>
      </c>
      <c r="J529">
        <f t="shared" si="35"/>
        <v>3.5341922235462024</v>
      </c>
    </row>
    <row r="530" spans="1:10" x14ac:dyDescent="0.35">
      <c r="A530" s="2" t="s">
        <v>275</v>
      </c>
      <c r="B530" s="71">
        <v>9.3040556602228763E-2</v>
      </c>
      <c r="C530" s="73">
        <v>0.23442895646926931</v>
      </c>
      <c r="D530" s="75">
        <v>0.19168870967670251</v>
      </c>
      <c r="E530">
        <v>2.0535710930797309E-2</v>
      </c>
      <c r="F530" s="77">
        <v>0.1094012841861056</v>
      </c>
      <c r="G530" s="80">
        <v>0.35090478213489662</v>
      </c>
      <c r="H530" s="58">
        <f t="shared" ref="H530:H578" si="36">B530*$B$253+C530*$D$253+D530*$F$253+E530*$H$253+F530*$J$253+G530*$L$253</f>
        <v>9.1236836642025851E-2</v>
      </c>
      <c r="I530" cm="1">
        <f t="array" ref="I530">SQRT(MMULT(B530:F530,MMULT($M$273:$Q$277,TRANSPOSE(B530:F530))))</f>
        <v>0.42886694180097995</v>
      </c>
      <c r="J530">
        <f t="shared" ref="J530:J578" si="37">I530/H530</f>
        <v>4.7005897791444653</v>
      </c>
    </row>
    <row r="531" spans="1:10" x14ac:dyDescent="0.35">
      <c r="A531" s="2" t="s">
        <v>276</v>
      </c>
      <c r="B531" s="71">
        <v>4.6725455117906822E-2</v>
      </c>
      <c r="C531" s="73">
        <v>0.26785879108045119</v>
      </c>
      <c r="D531" s="75">
        <v>0.12347543305428089</v>
      </c>
      <c r="E531">
        <v>5.4518730648893607E-2</v>
      </c>
      <c r="F531" s="77">
        <v>0.18979522160392809</v>
      </c>
      <c r="G531" s="80">
        <v>0.31762636849453929</v>
      </c>
      <c r="H531" s="58">
        <f t="shared" si="36"/>
        <v>0.12616079337536545</v>
      </c>
      <c r="I531" cm="1">
        <f t="array" ref="I531">SQRT(MMULT(B531:F531,MMULT($M$273:$Q$277,TRANSPOSE(B531:F531))))</f>
        <v>0.47628777082075158</v>
      </c>
      <c r="J531">
        <f t="shared" si="37"/>
        <v>3.7752439413063565</v>
      </c>
    </row>
    <row r="532" spans="1:10" x14ac:dyDescent="0.35">
      <c r="A532" s="2" t="s">
        <v>277</v>
      </c>
      <c r="B532" s="71">
        <v>4.1402658276139863E-2</v>
      </c>
      <c r="C532" s="73">
        <v>0.1076335387461821</v>
      </c>
      <c r="D532" s="75">
        <v>8.0630892183000041E-2</v>
      </c>
      <c r="E532">
        <v>6.0464728787330613E-2</v>
      </c>
      <c r="F532" s="77">
        <v>0.20669095942026139</v>
      </c>
      <c r="G532" s="80">
        <v>0.50317722258708597</v>
      </c>
      <c r="H532" s="58">
        <f t="shared" si="36"/>
        <v>0.13788113522263901</v>
      </c>
      <c r="I532" cm="1">
        <f t="array" ref="I532">SQRT(MMULT(B532:F532,MMULT($M$273:$Q$277,TRANSPOSE(B532:F532))))</f>
        <v>0.34765934146573541</v>
      </c>
      <c r="J532">
        <f t="shared" si="37"/>
        <v>2.5214424069279961</v>
      </c>
    </row>
    <row r="533" spans="1:10" x14ac:dyDescent="0.35">
      <c r="A533" s="2" t="s">
        <v>278</v>
      </c>
      <c r="B533" s="71">
        <v>0.17888321136243809</v>
      </c>
      <c r="C533" s="73">
        <v>7.0436235510764098E-2</v>
      </c>
      <c r="D533" s="75">
        <v>2.0917500711064411E-2</v>
      </c>
      <c r="E533">
        <v>0.33285173043587712</v>
      </c>
      <c r="F533" s="77">
        <v>8.4064121777657222E-2</v>
      </c>
      <c r="G533" s="80">
        <v>0.31284720020219908</v>
      </c>
      <c r="H533" s="58">
        <f t="shared" si="36"/>
        <v>0.18575452685218591</v>
      </c>
      <c r="I533" cm="1">
        <f t="array" ref="I533">SQRT(MMULT(B533:F533,MMULT($M$273:$Q$277,TRANSPOSE(B533:F533))))</f>
        <v>0.50113488248139937</v>
      </c>
      <c r="J533">
        <f t="shared" si="37"/>
        <v>2.6978340230716276</v>
      </c>
    </row>
    <row r="534" spans="1:10" x14ac:dyDescent="0.35">
      <c r="A534" s="2" t="s">
        <v>279</v>
      </c>
      <c r="B534" s="71">
        <v>8.0905606972207569E-2</v>
      </c>
      <c r="C534" s="73">
        <v>0.11908955887496581</v>
      </c>
      <c r="D534" s="75">
        <v>1.8904691610033199E-2</v>
      </c>
      <c r="E534">
        <v>0.46467582906709992</v>
      </c>
      <c r="F534" s="77">
        <v>5.5784436521592769E-3</v>
      </c>
      <c r="G534" s="80">
        <v>0.31084586982353429</v>
      </c>
      <c r="H534" s="58">
        <f t="shared" si="36"/>
        <v>0.22744390845784637</v>
      </c>
      <c r="I534" cm="1">
        <f t="array" ref="I534">SQRT(MMULT(B534:F534,MMULT($M$273:$Q$277,TRANSPOSE(B534:F534))))</f>
        <v>0.53347738053535554</v>
      </c>
      <c r="J534">
        <f t="shared" si="37"/>
        <v>2.345533824812144</v>
      </c>
    </row>
    <row r="535" spans="1:10" x14ac:dyDescent="0.35">
      <c r="A535" s="2" t="s">
        <v>280</v>
      </c>
      <c r="B535" s="71">
        <v>2.3095134666655848E-2</v>
      </c>
      <c r="C535" s="73">
        <v>0.14836319067044421</v>
      </c>
      <c r="D535" s="75">
        <v>0.21514223408679409</v>
      </c>
      <c r="E535">
        <v>0.13631188022806071</v>
      </c>
      <c r="F535" s="77">
        <v>0.1171102802465334</v>
      </c>
      <c r="G535" s="80">
        <v>0.35997728010151192</v>
      </c>
      <c r="H535" s="58">
        <f t="shared" si="36"/>
        <v>0.12620647677335262</v>
      </c>
      <c r="I535" cm="1">
        <f t="array" ref="I535">SQRT(MMULT(B535:F535,MMULT($M$273:$Q$277,TRANSPOSE(B535:F535))))</f>
        <v>0.44006094336206719</v>
      </c>
      <c r="J535">
        <f t="shared" si="37"/>
        <v>3.4868332799777688</v>
      </c>
    </row>
    <row r="536" spans="1:10" x14ac:dyDescent="0.35">
      <c r="A536" s="2" t="s">
        <v>281</v>
      </c>
      <c r="B536" s="71">
        <v>0.32115567783173088</v>
      </c>
      <c r="C536" s="73">
        <v>6.1135388357230432E-2</v>
      </c>
      <c r="D536" s="75">
        <v>0.15473850248004009</v>
      </c>
      <c r="E536">
        <v>8.5223679216409859E-2</v>
      </c>
      <c r="F536" s="77">
        <v>3.4110710803435432E-2</v>
      </c>
      <c r="G536" s="80">
        <v>0.34363604131115327</v>
      </c>
      <c r="H536" s="58">
        <f t="shared" si="36"/>
        <v>7.3407258625271143E-2</v>
      </c>
      <c r="I536" cm="1">
        <f t="array" ref="I536">SQRT(MMULT(B536:F536,MMULT($M$273:$Q$277,TRANSPOSE(B536:F536))))</f>
        <v>0.43259395178201654</v>
      </c>
      <c r="J536">
        <f t="shared" si="37"/>
        <v>5.8930677957927715</v>
      </c>
    </row>
    <row r="537" spans="1:10" x14ac:dyDescent="0.35">
      <c r="A537" s="2" t="s">
        <v>282</v>
      </c>
      <c r="B537" s="71">
        <v>8.9476971788449919E-3</v>
      </c>
      <c r="C537" s="73">
        <v>0.1727116122617276</v>
      </c>
      <c r="D537" s="75">
        <v>0.1043609659884403</v>
      </c>
      <c r="E537">
        <v>0.1528157932952415</v>
      </c>
      <c r="F537" s="77">
        <v>0.2285947801939372</v>
      </c>
      <c r="G537" s="80">
        <v>0.33256915108180829</v>
      </c>
      <c r="H537" s="58">
        <f t="shared" si="36"/>
        <v>0.16260692039468877</v>
      </c>
      <c r="I537" cm="1">
        <f t="array" ref="I537">SQRT(MMULT(B537:F537,MMULT($M$273:$Q$277,TRANSPOSE(B537:F537))))</f>
        <v>0.48755669062443163</v>
      </c>
      <c r="J537">
        <f t="shared" si="37"/>
        <v>2.998376018935764</v>
      </c>
    </row>
    <row r="538" spans="1:10" x14ac:dyDescent="0.35">
      <c r="A538" s="2" t="s">
        <v>283</v>
      </c>
      <c r="B538" s="71">
        <v>7.3702587362527633E-2</v>
      </c>
      <c r="C538" s="73">
        <v>0.13604288430798081</v>
      </c>
      <c r="D538" s="75">
        <v>0.28169595966225858</v>
      </c>
      <c r="E538">
        <v>6.6820419849552795E-2</v>
      </c>
      <c r="F538" s="77">
        <v>0.1255337529317756</v>
      </c>
      <c r="G538" s="80">
        <v>0.31620439588590449</v>
      </c>
      <c r="H538" s="58">
        <f t="shared" si="36"/>
        <v>8.910728343345535E-2</v>
      </c>
      <c r="I538" cm="1">
        <f t="array" ref="I538">SQRT(MMULT(B538:F538,MMULT($M$273:$Q$277,TRANSPOSE(B538:F538))))</f>
        <v>0.44828300039583419</v>
      </c>
      <c r="J538">
        <f t="shared" si="37"/>
        <v>5.0308233302904872</v>
      </c>
    </row>
    <row r="539" spans="1:10" x14ac:dyDescent="0.35">
      <c r="A539" s="2" t="s">
        <v>284</v>
      </c>
      <c r="B539" s="71">
        <v>0.1292632082307944</v>
      </c>
      <c r="C539" s="73">
        <v>1.147518881756948E-2</v>
      </c>
      <c r="D539" s="75">
        <v>0.31174866118012179</v>
      </c>
      <c r="E539">
        <v>6.5491787088273624E-3</v>
      </c>
      <c r="F539" s="77">
        <v>0.22622377210957259</v>
      </c>
      <c r="G539" s="80">
        <v>0.31473999095311428</v>
      </c>
      <c r="H539" s="58">
        <f t="shared" si="36"/>
        <v>6.7578964920221349E-2</v>
      </c>
      <c r="I539" cm="1">
        <f t="array" ref="I539">SQRT(MMULT(B539:F539,MMULT($M$273:$Q$277,TRANSPOSE(B539:F539))))</f>
        <v>0.4214884542245686</v>
      </c>
      <c r="J539">
        <f t="shared" si="37"/>
        <v>6.2369770641226339</v>
      </c>
    </row>
    <row r="540" spans="1:10" x14ac:dyDescent="0.35">
      <c r="A540" s="2" t="s">
        <v>285</v>
      </c>
      <c r="B540" s="71">
        <v>0.22490838118060349</v>
      </c>
      <c r="C540" s="73">
        <v>2.0814685295851849E-2</v>
      </c>
      <c r="D540" s="75">
        <v>6.3720954265678226E-2</v>
      </c>
      <c r="E540">
        <v>0.1172848251983734</v>
      </c>
      <c r="F540" s="77">
        <v>0.22435708953694999</v>
      </c>
      <c r="G540" s="80">
        <v>0.34891406452254309</v>
      </c>
      <c r="H540" s="58">
        <f t="shared" si="36"/>
        <v>0.12829380485707764</v>
      </c>
      <c r="I540" cm="1">
        <f t="array" ref="I540">SQRT(MMULT(B540:F540,MMULT($M$273:$Q$277,TRANSPOSE(B540:F540))))</f>
        <v>0.438666845702889</v>
      </c>
      <c r="J540">
        <f t="shared" si="37"/>
        <v>3.4192363862898469</v>
      </c>
    </row>
    <row r="541" spans="1:10" x14ac:dyDescent="0.35">
      <c r="A541" s="2" t="s">
        <v>286</v>
      </c>
      <c r="B541" s="71">
        <v>0.32316012164883351</v>
      </c>
      <c r="C541" s="73">
        <v>8.9524674669086854E-2</v>
      </c>
      <c r="D541" s="75">
        <v>5.2234732893366977E-2</v>
      </c>
      <c r="E541">
        <v>0.1147041347966077</v>
      </c>
      <c r="F541" s="77">
        <v>8.1952536221290978E-2</v>
      </c>
      <c r="G541" s="80">
        <v>0.33842379977081399</v>
      </c>
      <c r="H541" s="58">
        <f t="shared" si="36"/>
        <v>0.1040151938457369</v>
      </c>
      <c r="I541" cm="1">
        <f t="array" ref="I541">SQRT(MMULT(B541:F541,MMULT($M$273:$Q$277,TRANSPOSE(B541:F541))))</f>
        <v>0.45058214412828301</v>
      </c>
      <c r="J541">
        <f t="shared" si="37"/>
        <v>4.3318877509042899</v>
      </c>
    </row>
    <row r="542" spans="1:10" x14ac:dyDescent="0.35">
      <c r="A542" s="2" t="s">
        <v>287</v>
      </c>
      <c r="B542" s="71">
        <v>2.5703906636733082E-2</v>
      </c>
      <c r="C542" s="73">
        <v>5.9963131273740233E-3</v>
      </c>
      <c r="D542" s="75">
        <v>0.35149970204105169</v>
      </c>
      <c r="E542">
        <v>0.1317396004352257</v>
      </c>
      <c r="F542" s="77">
        <v>0.1203264721513637</v>
      </c>
      <c r="G542" s="80">
        <v>0.36473400560825181</v>
      </c>
      <c r="H542" s="58">
        <f t="shared" si="36"/>
        <v>9.8181390839498547E-2</v>
      </c>
      <c r="I542" cm="1">
        <f t="array" ref="I542">SQRT(MMULT(B542:F542,MMULT($M$273:$Q$277,TRANSPOSE(B542:F542))))</f>
        <v>0.47550433139703091</v>
      </c>
      <c r="J542">
        <f t="shared" si="37"/>
        <v>4.843120751613295</v>
      </c>
    </row>
    <row r="543" spans="1:10" x14ac:dyDescent="0.35">
      <c r="A543" s="2" t="s">
        <v>288</v>
      </c>
      <c r="B543" s="71">
        <v>0.20195878225738489</v>
      </c>
      <c r="C543" s="73">
        <v>0.13906943633988719</v>
      </c>
      <c r="D543" s="75">
        <v>5.0428688774576458E-2</v>
      </c>
      <c r="E543">
        <v>1.9224141007652261E-2</v>
      </c>
      <c r="F543" s="77">
        <v>0.2391228770522161</v>
      </c>
      <c r="G543" s="80">
        <v>0.350196074568283</v>
      </c>
      <c r="H543" s="58">
        <f t="shared" si="36"/>
        <v>0.1116530958384544</v>
      </c>
      <c r="I543" cm="1">
        <f t="array" ref="I543">SQRT(MMULT(B543:F543,MMULT($M$273:$Q$277,TRANSPOSE(B543:F543))))</f>
        <v>0.43277834005550742</v>
      </c>
      <c r="J543">
        <f t="shared" si="37"/>
        <v>3.8760979873023316</v>
      </c>
    </row>
    <row r="544" spans="1:10" x14ac:dyDescent="0.35">
      <c r="A544" s="2" t="s">
        <v>289</v>
      </c>
      <c r="B544" s="71">
        <v>9.9453042350263213E-2</v>
      </c>
      <c r="C544" s="73">
        <v>0.20607696504285861</v>
      </c>
      <c r="D544" s="75">
        <v>0.10619399631527759</v>
      </c>
      <c r="E544">
        <v>0.1517235921442126</v>
      </c>
      <c r="F544" s="77">
        <v>0.13052981009293441</v>
      </c>
      <c r="G544" s="80">
        <v>0.30602259405445348</v>
      </c>
      <c r="H544" s="58">
        <f t="shared" si="36"/>
        <v>0.14064684582747847</v>
      </c>
      <c r="I544" cm="1">
        <f t="array" ref="I544">SQRT(MMULT(B544:F544,MMULT($M$273:$Q$277,TRANSPOSE(B544:F544))))</f>
        <v>0.46079965396979694</v>
      </c>
      <c r="J544">
        <f t="shared" si="37"/>
        <v>3.2762885741143974</v>
      </c>
    </row>
    <row r="545" spans="1:10" x14ac:dyDescent="0.35">
      <c r="A545" s="2" t="s">
        <v>290</v>
      </c>
      <c r="B545" s="71">
        <v>7.1985222207469612E-2</v>
      </c>
      <c r="C545" s="73">
        <v>6.0530240415416998E-2</v>
      </c>
      <c r="D545" s="75">
        <v>0.1641690846398266</v>
      </c>
      <c r="E545">
        <v>0.1526201345787028</v>
      </c>
      <c r="F545" s="77">
        <v>6.9847759314895938E-2</v>
      </c>
      <c r="G545" s="80">
        <v>0.48084755884368813</v>
      </c>
      <c r="H545" s="58">
        <f t="shared" si="36"/>
        <v>0.12891846989487663</v>
      </c>
      <c r="I545" cm="1">
        <f t="array" ref="I545">SQRT(MMULT(B545:F545,MMULT($M$273:$Q$277,TRANSPOSE(B545:F545))))</f>
        <v>0.34916665336014474</v>
      </c>
      <c r="J545">
        <f t="shared" si="37"/>
        <v>2.7084300150697107</v>
      </c>
    </row>
    <row r="546" spans="1:10" x14ac:dyDescent="0.35">
      <c r="A546" s="2" t="s">
        <v>291</v>
      </c>
      <c r="B546" s="71">
        <v>1.579610797025734E-2</v>
      </c>
      <c r="C546" s="73">
        <v>0.1358714770963167</v>
      </c>
      <c r="D546" s="75">
        <v>0.11010139342657729</v>
      </c>
      <c r="E546">
        <v>8.4441962219302391E-2</v>
      </c>
      <c r="F546" s="77">
        <v>0.35279319920223517</v>
      </c>
      <c r="G546" s="80">
        <v>0.3009958600853111</v>
      </c>
      <c r="H546" s="58">
        <f t="shared" si="36"/>
        <v>0.15319596187769072</v>
      </c>
      <c r="I546" cm="1">
        <f t="array" ref="I546">SQRT(MMULT(B546:F546,MMULT($M$273:$Q$277,TRANSPOSE(B546:F546))))</f>
        <v>0.52267270272118005</v>
      </c>
      <c r="J546">
        <f t="shared" si="37"/>
        <v>3.4117916446027072</v>
      </c>
    </row>
    <row r="547" spans="1:10" x14ac:dyDescent="0.35">
      <c r="A547" s="2" t="s">
        <v>292</v>
      </c>
      <c r="B547" s="71">
        <v>0.27901895940569732</v>
      </c>
      <c r="C547" s="73">
        <v>0.1296302026000718</v>
      </c>
      <c r="D547" s="75">
        <v>3.7193844921814212E-2</v>
      </c>
      <c r="E547">
        <v>0.19739466589545099</v>
      </c>
      <c r="F547" s="77">
        <v>5.4159281571532027E-2</v>
      </c>
      <c r="G547" s="80">
        <v>0.30260304560543361</v>
      </c>
      <c r="H547" s="58">
        <f t="shared" si="36"/>
        <v>0.13186458892098288</v>
      </c>
      <c r="I547" cm="1">
        <f t="array" ref="I547">SQRT(MMULT(B547:F547,MMULT($M$273:$Q$277,TRANSPOSE(B547:F547))))</f>
        <v>0.47243251529635827</v>
      </c>
      <c r="J547">
        <f t="shared" si="37"/>
        <v>3.5827094989046198</v>
      </c>
    </row>
    <row r="548" spans="1:10" x14ac:dyDescent="0.35">
      <c r="A548" s="2" t="s">
        <v>293</v>
      </c>
      <c r="B548" s="71">
        <v>0.12717321049424199</v>
      </c>
      <c r="C548" s="73">
        <v>0.22363254687706591</v>
      </c>
      <c r="D548" s="75">
        <v>0.21787439330565839</v>
      </c>
      <c r="E548">
        <v>0.1008905162192059</v>
      </c>
      <c r="F548" s="77">
        <v>1.2576268712337441E-2</v>
      </c>
      <c r="G548" s="80">
        <v>0.31785306439149053</v>
      </c>
      <c r="H548" s="58">
        <f t="shared" si="36"/>
        <v>9.3141184101104099E-2</v>
      </c>
      <c r="I548" cm="1">
        <f t="array" ref="I548">SQRT(MMULT(B548:F548,MMULT($M$273:$Q$277,TRANSPOSE(B548:F548))))</f>
        <v>0.45025016650202448</v>
      </c>
      <c r="J548">
        <f t="shared" si="37"/>
        <v>4.8340610101465007</v>
      </c>
    </row>
    <row r="549" spans="1:10" x14ac:dyDescent="0.35">
      <c r="A549" s="2" t="s">
        <v>294</v>
      </c>
      <c r="B549" s="71">
        <v>5.860663346887144E-2</v>
      </c>
      <c r="C549" s="73">
        <v>0.36184539158500761</v>
      </c>
      <c r="D549" s="75">
        <v>0.1801280072206832</v>
      </c>
      <c r="E549">
        <v>6.9440765888751282E-2</v>
      </c>
      <c r="F549" s="77">
        <v>2.9760962676110961E-2</v>
      </c>
      <c r="G549" s="80">
        <v>0.30021823916057538</v>
      </c>
      <c r="H549" s="58">
        <f t="shared" si="36"/>
        <v>0.10476916284108939</v>
      </c>
      <c r="I549" cm="1">
        <f t="array" ref="I549">SQRT(MMULT(B549:F549,MMULT($M$273:$Q$277,TRANSPOSE(B549:F549))))</f>
        <v>0.50331984220557258</v>
      </c>
      <c r="J549">
        <f t="shared" si="37"/>
        <v>4.804083840671634</v>
      </c>
    </row>
    <row r="550" spans="1:10" x14ac:dyDescent="0.35">
      <c r="A550" s="2" t="s">
        <v>295</v>
      </c>
      <c r="B550" s="71">
        <v>0.1663760579128491</v>
      </c>
      <c r="C550" s="73">
        <v>0.1173854154502995</v>
      </c>
      <c r="D550" s="75">
        <v>5.6249322080710578E-3</v>
      </c>
      <c r="E550">
        <v>0.1976468105588598</v>
      </c>
      <c r="F550" s="77">
        <v>0.19369262660511921</v>
      </c>
      <c r="G550" s="80">
        <v>0.31927415726480129</v>
      </c>
      <c r="H550" s="58">
        <f t="shared" si="36"/>
        <v>0.1660137962725165</v>
      </c>
      <c r="I550" cm="1">
        <f t="array" ref="I550">SQRT(MMULT(B550:F550,MMULT($M$273:$Q$277,TRANSPOSE(B550:F550))))</f>
        <v>0.48430370175204845</v>
      </c>
      <c r="J550">
        <f t="shared" si="37"/>
        <v>2.9172497263844854</v>
      </c>
    </row>
    <row r="551" spans="1:10" x14ac:dyDescent="0.35">
      <c r="A551" s="2" t="s">
        <v>296</v>
      </c>
      <c r="B551" s="71">
        <v>6.7361702174182064E-3</v>
      </c>
      <c r="C551" s="73">
        <v>0.1913310070237694</v>
      </c>
      <c r="D551" s="75">
        <v>0.14754856004919251</v>
      </c>
      <c r="E551">
        <v>0.27980773994013719</v>
      </c>
      <c r="F551" s="77">
        <v>3.4464384270309782E-2</v>
      </c>
      <c r="G551" s="80">
        <v>0.34011213849917288</v>
      </c>
      <c r="H551" s="58">
        <f t="shared" si="36"/>
        <v>0.17073263908569802</v>
      </c>
      <c r="I551" cm="1">
        <f t="array" ref="I551">SQRT(MMULT(B551:F551,MMULT($M$273:$Q$277,TRANSPOSE(B551:F551))))</f>
        <v>0.47393565485519457</v>
      </c>
      <c r="J551">
        <f t="shared" si="37"/>
        <v>2.7758936861352326</v>
      </c>
    </row>
    <row r="552" spans="1:10" x14ac:dyDescent="0.35">
      <c r="A552" s="2" t="s">
        <v>297</v>
      </c>
      <c r="B552" s="71">
        <v>0.41926535950904831</v>
      </c>
      <c r="C552" s="73">
        <v>5.5478590895505588E-2</v>
      </c>
      <c r="D552" s="75">
        <v>3.5658901676028837E-2</v>
      </c>
      <c r="E552">
        <v>3.7705337713894838E-2</v>
      </c>
      <c r="F552" s="77">
        <v>5.1827111033083247E-2</v>
      </c>
      <c r="G552" s="80">
        <v>0.40006469917243942</v>
      </c>
      <c r="H552" s="58">
        <f t="shared" si="36"/>
        <v>7.1332053847949897E-2</v>
      </c>
      <c r="I552" cm="1">
        <f t="array" ref="I552">SQRT(MMULT(B552:F552,MMULT($M$273:$Q$277,TRANSPOSE(B552:F552))))</f>
        <v>0.4648997170050983</v>
      </c>
      <c r="J552">
        <f t="shared" si="37"/>
        <v>6.5174026531756679</v>
      </c>
    </row>
    <row r="553" spans="1:10" x14ac:dyDescent="0.35">
      <c r="A553" s="2" t="s">
        <v>298</v>
      </c>
      <c r="B553" s="71">
        <v>5.0014232861489587E-2</v>
      </c>
      <c r="C553" s="73">
        <v>0.1846218870599238</v>
      </c>
      <c r="D553" s="75">
        <v>0.20462322041239681</v>
      </c>
      <c r="E553">
        <v>7.4381160800338396E-3</v>
      </c>
      <c r="F553" s="77">
        <v>0.22537162530266699</v>
      </c>
      <c r="G553" s="80">
        <v>0.32793091828348891</v>
      </c>
      <c r="H553" s="58">
        <f t="shared" si="36"/>
        <v>0.10094071988970478</v>
      </c>
      <c r="I553" cm="1">
        <f t="array" ref="I553">SQRT(MMULT(B553:F553,MMULT($M$273:$Q$277,TRANSPOSE(B553:F553))))</f>
        <v>0.44586893989983478</v>
      </c>
      <c r="J553">
        <f t="shared" si="37"/>
        <v>4.4171365172253951</v>
      </c>
    </row>
    <row r="554" spans="1:10" x14ac:dyDescent="0.35">
      <c r="A554" s="2" t="s">
        <v>299</v>
      </c>
      <c r="B554" s="71">
        <v>2.215732462509705E-2</v>
      </c>
      <c r="C554" s="73">
        <v>0.14375298026380409</v>
      </c>
      <c r="D554" s="75">
        <v>0.24645753046107721</v>
      </c>
      <c r="E554">
        <v>4.3791101570803931E-2</v>
      </c>
      <c r="F554" s="77">
        <v>0.2386874110580797</v>
      </c>
      <c r="G554" s="80">
        <v>0.30515365202113809</v>
      </c>
      <c r="H554" s="58">
        <f t="shared" si="36"/>
        <v>0.1069244266204164</v>
      </c>
      <c r="I554" cm="1">
        <f t="array" ref="I554">SQRT(MMULT(B554:F554,MMULT($M$273:$Q$277,TRANSPOSE(B554:F554))))</f>
        <v>0.47070630196664864</v>
      </c>
      <c r="J554">
        <f t="shared" si="37"/>
        <v>4.4022335853870356</v>
      </c>
    </row>
    <row r="555" spans="1:10" x14ac:dyDescent="0.35">
      <c r="A555" s="2" t="s">
        <v>300</v>
      </c>
      <c r="B555" s="71">
        <v>0.29510862177739022</v>
      </c>
      <c r="C555" s="73">
        <v>0.13507229818870881</v>
      </c>
      <c r="D555" s="75">
        <v>1.369781025607342E-3</v>
      </c>
      <c r="E555">
        <v>2.603393682577131E-2</v>
      </c>
      <c r="F555" s="77">
        <v>0.13424951380886321</v>
      </c>
      <c r="G555" s="80">
        <v>0.40816584837365932</v>
      </c>
      <c r="H555" s="58">
        <f t="shared" si="36"/>
        <v>0.10057328593445308</v>
      </c>
      <c r="I555" cm="1">
        <f t="array" ref="I555">SQRT(MMULT(B555:F555,MMULT($M$273:$Q$277,TRANSPOSE(B555:F555))))</f>
        <v>0.42408458478565536</v>
      </c>
      <c r="J555">
        <f t="shared" si="37"/>
        <v>4.2166722588943273</v>
      </c>
    </row>
    <row r="556" spans="1:10" x14ac:dyDescent="0.35">
      <c r="A556" s="2" t="s">
        <v>301</v>
      </c>
      <c r="B556" s="71">
        <v>0.11052912720438871</v>
      </c>
      <c r="C556" s="73">
        <v>0.31722905387086292</v>
      </c>
      <c r="D556" s="75">
        <v>2.6229439120884358E-2</v>
      </c>
      <c r="E556">
        <v>5.3473675019034959E-2</v>
      </c>
      <c r="F556" s="77">
        <v>1.121126238123848E-2</v>
      </c>
      <c r="G556" s="80">
        <v>0.48132744240359082</v>
      </c>
      <c r="H556" s="58">
        <f t="shared" si="36"/>
        <v>0.12143288758531601</v>
      </c>
      <c r="I556" cm="1">
        <f t="array" ref="I556">SQRT(MMULT(B556:F556,MMULT($M$273:$Q$277,TRANSPOSE(B556:F556))))</f>
        <v>0.39350083539979164</v>
      </c>
      <c r="J556">
        <f t="shared" si="37"/>
        <v>3.2404799327803748</v>
      </c>
    </row>
    <row r="557" spans="1:10" x14ac:dyDescent="0.35">
      <c r="A557" s="2" t="s">
        <v>302</v>
      </c>
      <c r="B557" s="71">
        <v>4.4943627307544268E-2</v>
      </c>
      <c r="C557" s="73">
        <v>0.23293511066358361</v>
      </c>
      <c r="D557" s="75">
        <v>6.0048190379958802E-2</v>
      </c>
      <c r="E557">
        <v>0.11138978609102421</v>
      </c>
      <c r="F557" s="77">
        <v>0.21921661719593991</v>
      </c>
      <c r="G557" s="80">
        <v>0.33146666836194921</v>
      </c>
      <c r="H557" s="58">
        <f t="shared" si="36"/>
        <v>0.15494617877695416</v>
      </c>
      <c r="I557" cm="1">
        <f t="array" ref="I557">SQRT(MMULT(B557:F557,MMULT($M$273:$Q$277,TRANSPOSE(B557:F557))))</f>
        <v>0.48248141648094223</v>
      </c>
      <c r="J557">
        <f t="shared" si="37"/>
        <v>3.1138645708422197</v>
      </c>
    </row>
    <row r="558" spans="1:10" x14ac:dyDescent="0.35">
      <c r="A558" s="2" t="s">
        <v>303</v>
      </c>
      <c r="B558" s="71">
        <v>8.0336454622717809E-2</v>
      </c>
      <c r="C558" s="73">
        <v>0.22673520780994899</v>
      </c>
      <c r="D558" s="75">
        <v>3.2935335772530079E-3</v>
      </c>
      <c r="E558">
        <v>0.24862259246694801</v>
      </c>
      <c r="F558" s="77">
        <v>6.5659714380899209E-2</v>
      </c>
      <c r="G558" s="80">
        <v>0.37535249714223301</v>
      </c>
      <c r="H558" s="58">
        <f t="shared" si="36"/>
        <v>0.18239986700694061</v>
      </c>
      <c r="I558" cm="1">
        <f t="array" ref="I558">SQRT(MMULT(B558:F558,MMULT($M$273:$Q$277,TRANSPOSE(B558:F558))))</f>
        <v>0.44321079323884444</v>
      </c>
      <c r="J558">
        <f t="shared" si="37"/>
        <v>2.4298855065611398</v>
      </c>
    </row>
    <row r="559" spans="1:10" x14ac:dyDescent="0.35">
      <c r="A559" s="2" t="s">
        <v>304</v>
      </c>
      <c r="B559" s="71">
        <v>0.1117431496001229</v>
      </c>
      <c r="C559" s="73">
        <v>0.28493759111835792</v>
      </c>
      <c r="D559" s="75">
        <v>0.217839619062068</v>
      </c>
      <c r="E559">
        <v>6.6806179280124556E-2</v>
      </c>
      <c r="F559" s="77">
        <v>7.772200298482787E-3</v>
      </c>
      <c r="G559" s="80">
        <v>0.31090126064084389</v>
      </c>
      <c r="H559" s="58">
        <f t="shared" si="36"/>
        <v>8.6863900082007284E-2</v>
      </c>
      <c r="I559" cm="1">
        <f t="array" ref="I559">SQRT(MMULT(B559:F559,MMULT($M$273:$Q$277,TRANSPOSE(B559:F559))))</f>
        <v>0.47193351400835609</v>
      </c>
      <c r="J559">
        <f t="shared" si="37"/>
        <v>5.4330223897707643</v>
      </c>
    </row>
    <row r="560" spans="1:10" x14ac:dyDescent="0.35">
      <c r="A560" s="2" t="s">
        <v>305</v>
      </c>
      <c r="B560" s="71">
        <v>9.9631739175819883E-3</v>
      </c>
      <c r="C560" s="73">
        <v>7.2221055491572872E-2</v>
      </c>
      <c r="D560" s="75">
        <v>2.2929549446075729E-2</v>
      </c>
      <c r="E560">
        <v>0.33525492538321872</v>
      </c>
      <c r="F560" s="77">
        <v>0.21963311416351411</v>
      </c>
      <c r="G560" s="80">
        <v>0.33999818159803658</v>
      </c>
      <c r="H560" s="58">
        <f t="shared" si="36"/>
        <v>0.22220161397213639</v>
      </c>
      <c r="I560" cm="1">
        <f t="array" ref="I560">SQRT(MMULT(B560:F560,MMULT($M$273:$Q$277,TRANSPOSE(B560:F560))))</f>
        <v>0.55733339269483295</v>
      </c>
      <c r="J560">
        <f t="shared" si="37"/>
        <v>2.5082328734332298</v>
      </c>
    </row>
    <row r="561" spans="1:10" x14ac:dyDescent="0.35">
      <c r="A561" s="2" t="s">
        <v>306</v>
      </c>
      <c r="B561" s="71">
        <v>0.30965941954769011</v>
      </c>
      <c r="C561" s="73">
        <v>3.8820516569006709E-2</v>
      </c>
      <c r="D561" s="75">
        <v>0.25113631887330529</v>
      </c>
      <c r="E561">
        <v>3.9480104776021173E-2</v>
      </c>
      <c r="F561" s="77">
        <v>1.861446572717624E-2</v>
      </c>
      <c r="G561" s="80">
        <v>0.34228917450680052</v>
      </c>
      <c r="H561" s="58">
        <f t="shared" si="36"/>
        <v>4.395122680285625E-2</v>
      </c>
      <c r="I561" cm="1">
        <f t="array" ref="I561">SQRT(MMULT(B561:F561,MMULT($M$273:$Q$277,TRANSPOSE(B561:F561))))</f>
        <v>0.43479378446474481</v>
      </c>
      <c r="J561">
        <f t="shared" si="37"/>
        <v>9.8926427336150926</v>
      </c>
    </row>
    <row r="562" spans="1:10" x14ac:dyDescent="0.35">
      <c r="A562" s="2" t="s">
        <v>307</v>
      </c>
      <c r="B562" s="71">
        <v>4.4269218987171696E-3</v>
      </c>
      <c r="C562" s="73">
        <v>0.31712106472113089</v>
      </c>
      <c r="D562" s="75">
        <v>7.5933034848208597E-2</v>
      </c>
      <c r="E562">
        <v>4.4041657405258774E-3</v>
      </c>
      <c r="F562" s="77">
        <v>0.2542707252196964</v>
      </c>
      <c r="G562" s="80">
        <v>0.34384408757172102</v>
      </c>
      <c r="H562" s="58">
        <f t="shared" si="36"/>
        <v>0.13463566297635732</v>
      </c>
      <c r="I562" cm="1">
        <f t="array" ref="I562">SQRT(MMULT(B562:F562,MMULT($M$273:$Q$277,TRANSPOSE(B562:F562))))</f>
        <v>0.50892274348425293</v>
      </c>
      <c r="J562">
        <f t="shared" si="37"/>
        <v>3.7799995352911973</v>
      </c>
    </row>
    <row r="563" spans="1:10" x14ac:dyDescent="0.35">
      <c r="A563" s="2" t="s">
        <v>308</v>
      </c>
      <c r="B563" s="71">
        <v>1.6313373591079299E-2</v>
      </c>
      <c r="C563" s="73">
        <v>0.15474943409719119</v>
      </c>
      <c r="D563" s="75">
        <v>8.1194300699915428E-2</v>
      </c>
      <c r="E563">
        <v>0.25208838670679989</v>
      </c>
      <c r="F563" s="77">
        <v>0.15791880176634629</v>
      </c>
      <c r="G563" s="80">
        <v>0.33773570313866791</v>
      </c>
      <c r="H563" s="58">
        <f t="shared" si="36"/>
        <v>0.18485828863467132</v>
      </c>
      <c r="I563" cm="1">
        <f t="array" ref="I563">SQRT(MMULT(B563:F563,MMULT($M$273:$Q$277,TRANSPOSE(B563:F563))))</f>
        <v>0.49029806842843077</v>
      </c>
      <c r="J563">
        <f t="shared" si="37"/>
        <v>2.652291504209416</v>
      </c>
    </row>
    <row r="564" spans="1:10" x14ac:dyDescent="0.35">
      <c r="A564" s="2" t="s">
        <v>309</v>
      </c>
      <c r="B564" s="71">
        <v>0.22211604706844851</v>
      </c>
      <c r="C564" s="73">
        <v>4.9540532326336491E-2</v>
      </c>
      <c r="D564" s="75">
        <v>8.6976142426851824E-2</v>
      </c>
      <c r="E564">
        <v>0.16695571376361301</v>
      </c>
      <c r="F564" s="77">
        <v>0.1530626652160775</v>
      </c>
      <c r="G564" s="80">
        <v>0.32134889919867282</v>
      </c>
      <c r="H564" s="58">
        <f t="shared" si="36"/>
        <v>0.13090979763626459</v>
      </c>
      <c r="I564" cm="1">
        <f t="array" ref="I564">SQRT(MMULT(B564:F564,MMULT($M$273:$Q$277,TRANSPOSE(B564:F564))))</f>
        <v>0.4479826028956167</v>
      </c>
      <c r="J564">
        <f t="shared" si="37"/>
        <v>3.4220708532477078</v>
      </c>
    </row>
    <row r="565" spans="1:10" x14ac:dyDescent="0.35">
      <c r="A565" s="2" t="s">
        <v>310</v>
      </c>
      <c r="B565" s="71">
        <v>0.21628975790865149</v>
      </c>
      <c r="C565" s="73">
        <v>2.0356308188074729E-2</v>
      </c>
      <c r="D565" s="75">
        <v>5.0596416596071239E-2</v>
      </c>
      <c r="E565">
        <v>0.1360908627738022</v>
      </c>
      <c r="F565" s="77">
        <v>0.2093143447711335</v>
      </c>
      <c r="G565" s="80">
        <v>0.36735230976226679</v>
      </c>
      <c r="H565" s="58">
        <f t="shared" si="36"/>
        <v>0.13561903084941487</v>
      </c>
      <c r="I565" cm="1">
        <f t="array" ref="I565">SQRT(MMULT(B565:F565,MMULT($M$273:$Q$277,TRANSPOSE(B565:F565))))</f>
        <v>0.43395832623643432</v>
      </c>
      <c r="J565">
        <f t="shared" si="37"/>
        <v>3.1998335596298553</v>
      </c>
    </row>
    <row r="566" spans="1:10" x14ac:dyDescent="0.35">
      <c r="A566" s="2" t="s">
        <v>311</v>
      </c>
      <c r="B566" s="71">
        <v>0.1107380417577427</v>
      </c>
      <c r="C566" s="73">
        <v>1.8020955593532239E-2</v>
      </c>
      <c r="D566" s="75">
        <v>4.7847551586061542E-2</v>
      </c>
      <c r="E566">
        <v>9.6092768507743787E-2</v>
      </c>
      <c r="F566" s="77">
        <v>0.28201106435801809</v>
      </c>
      <c r="G566" s="80">
        <v>0.4452896181969016</v>
      </c>
      <c r="H566" s="58">
        <f t="shared" si="36"/>
        <v>0.14807950746941786</v>
      </c>
      <c r="I566" cm="1">
        <f t="array" ref="I566">SQRT(MMULT(B566:F566,MMULT($M$273:$Q$277,TRANSPOSE(B566:F566))))</f>
        <v>0.40628918613878406</v>
      </c>
      <c r="J566">
        <f t="shared" si="37"/>
        <v>2.7437232408589214</v>
      </c>
    </row>
    <row r="567" spans="1:10" x14ac:dyDescent="0.35">
      <c r="A567" s="2" t="s">
        <v>312</v>
      </c>
      <c r="B567" s="71">
        <v>0.20160871937181221</v>
      </c>
      <c r="C567" s="73">
        <v>0.1295211463558936</v>
      </c>
      <c r="D567" s="75">
        <v>7.9115383870875522E-3</v>
      </c>
      <c r="E567">
        <v>0.18593991198226889</v>
      </c>
      <c r="F567" s="77">
        <v>5.7610424718443951E-2</v>
      </c>
      <c r="G567" s="80">
        <v>0.4174082591844937</v>
      </c>
      <c r="H567" s="58">
        <f t="shared" si="36"/>
        <v>0.14686471815487698</v>
      </c>
      <c r="I567" cm="1">
        <f t="array" ref="I567">SQRT(MMULT(B567:F567,MMULT($M$273:$Q$277,TRANSPOSE(B567:F567))))</f>
        <v>0.39935358356300282</v>
      </c>
      <c r="J567">
        <f t="shared" si="37"/>
        <v>2.7191934766923556</v>
      </c>
    </row>
    <row r="568" spans="1:10" x14ac:dyDescent="0.35">
      <c r="A568" s="2" t="s">
        <v>313</v>
      </c>
      <c r="B568" s="71">
        <v>4.6796220583686862E-2</v>
      </c>
      <c r="C568" s="73">
        <v>0.2170076750137778</v>
      </c>
      <c r="D568" s="75">
        <v>0.34331399462197221</v>
      </c>
      <c r="E568">
        <v>5.2348728371870067E-2</v>
      </c>
      <c r="F568" s="77">
        <v>2.4862480829055851E-2</v>
      </c>
      <c r="G568" s="80">
        <v>0.3156709005796372</v>
      </c>
      <c r="H568" s="58">
        <f t="shared" si="36"/>
        <v>7.0025359983905133E-2</v>
      </c>
      <c r="I568" cm="1">
        <f t="array" ref="I568">SQRT(MMULT(B568:F568,MMULT($M$273:$Q$277,TRANSPOSE(B568:F568))))</f>
        <v>0.49458332429993773</v>
      </c>
      <c r="J568">
        <f t="shared" si="37"/>
        <v>7.0629172690238855</v>
      </c>
    </row>
    <row r="569" spans="1:10" x14ac:dyDescent="0.35">
      <c r="A569" s="2" t="s">
        <v>314</v>
      </c>
      <c r="B569" s="71">
        <v>6.7929889039914121E-2</v>
      </c>
      <c r="C569" s="73">
        <v>0.18174087117063539</v>
      </c>
      <c r="D569" s="75">
        <v>0.114060667247755</v>
      </c>
      <c r="E569">
        <v>0.25630250191152543</v>
      </c>
      <c r="F569" s="77">
        <v>7.0237374879218384E-2</v>
      </c>
      <c r="G569" s="80">
        <v>0.30972869575095158</v>
      </c>
      <c r="H569" s="58">
        <f t="shared" si="36"/>
        <v>0.164885305009805</v>
      </c>
      <c r="I569" cm="1">
        <f t="array" ref="I569">SQRT(MMULT(B569:F569,MMULT($M$273:$Q$277,TRANSPOSE(B569:F569))))</f>
        <v>0.47314991574991955</v>
      </c>
      <c r="J569">
        <f t="shared" si="37"/>
        <v>2.8695699457376351</v>
      </c>
    </row>
    <row r="570" spans="1:10" x14ac:dyDescent="0.35">
      <c r="A570" s="2" t="s">
        <v>315</v>
      </c>
      <c r="B570" s="71">
        <v>6.3741353371131501E-2</v>
      </c>
      <c r="C570" s="73">
        <v>1.273494122104535E-2</v>
      </c>
      <c r="D570" s="75">
        <v>8.1865556832626557E-2</v>
      </c>
      <c r="E570">
        <v>0.4201490881814528</v>
      </c>
      <c r="F570" s="77">
        <v>5.9884123323224521E-2</v>
      </c>
      <c r="G570" s="80">
        <v>0.3616249370705194</v>
      </c>
      <c r="H570" s="58">
        <f t="shared" si="36"/>
        <v>0.21093225977206964</v>
      </c>
      <c r="I570" cm="1">
        <f t="array" ref="I570">SQRT(MMULT(B570:F570,MMULT($M$273:$Q$277,TRANSPOSE(B570:F570))))</f>
        <v>0.52497657679021703</v>
      </c>
      <c r="J570">
        <f t="shared" si="37"/>
        <v>2.4888396746780184</v>
      </c>
    </row>
    <row r="571" spans="1:10" x14ac:dyDescent="0.35">
      <c r="A571" s="2" t="s">
        <v>316</v>
      </c>
      <c r="B571" s="71">
        <v>0.16924519378210071</v>
      </c>
      <c r="C571" s="73">
        <v>0.16271939782143621</v>
      </c>
      <c r="D571" s="75">
        <v>0.15305637882307849</v>
      </c>
      <c r="E571">
        <v>6.4178196675956645E-2</v>
      </c>
      <c r="F571" s="77">
        <v>0.1103407406056934</v>
      </c>
      <c r="G571" s="80">
        <v>0.34046009229173457</v>
      </c>
      <c r="H571" s="58">
        <f t="shared" si="36"/>
        <v>9.7790956168187851E-2</v>
      </c>
      <c r="I571" cm="1">
        <f t="array" ref="I571">SQRT(MMULT(B571:F571,MMULT($M$273:$Q$277,TRANSPOSE(B571:F571))))</f>
        <v>0.41247143305792305</v>
      </c>
      <c r="J571">
        <f t="shared" si="37"/>
        <v>4.2178893552132299</v>
      </c>
    </row>
    <row r="572" spans="1:10" x14ac:dyDescent="0.35">
      <c r="A572" s="2" t="s">
        <v>317</v>
      </c>
      <c r="B572" s="71">
        <v>0.13434317948825131</v>
      </c>
      <c r="C572" s="73">
        <v>0.147384448577355</v>
      </c>
      <c r="D572" s="75">
        <v>0.1462296046256526</v>
      </c>
      <c r="E572">
        <v>0.14219958351519449</v>
      </c>
      <c r="F572" s="77">
        <v>0.12430473727103269</v>
      </c>
      <c r="G572" s="80">
        <v>0.30553844652251388</v>
      </c>
      <c r="H572" s="58">
        <f t="shared" si="36"/>
        <v>0.12462516207725394</v>
      </c>
      <c r="I572" cm="1">
        <f t="array" ref="I572">SQRT(MMULT(B572:F572,MMULT($M$273:$Q$277,TRANSPOSE(B572:F572))))</f>
        <v>0.44471374374193434</v>
      </c>
      <c r="J572">
        <f t="shared" si="37"/>
        <v>3.5684105547342084</v>
      </c>
    </row>
    <row r="573" spans="1:10" x14ac:dyDescent="0.35">
      <c r="A573" s="2" t="s">
        <v>325</v>
      </c>
      <c r="B573" s="84">
        <v>0</v>
      </c>
      <c r="C573" s="83">
        <v>0</v>
      </c>
      <c r="D573" s="85">
        <v>0</v>
      </c>
      <c r="E573" s="32">
        <v>1</v>
      </c>
      <c r="F573" s="76">
        <v>0</v>
      </c>
      <c r="G573" s="79">
        <v>0</v>
      </c>
      <c r="H573" s="58">
        <f t="shared" si="36"/>
        <v>0.37406114906913634</v>
      </c>
      <c r="I573" cm="1">
        <f t="array" ref="I573">SQRT(MMULT(B573:F573,MMULT($M$273:$Q$277,TRANSPOSE(B573:F573))))</f>
        <v>1</v>
      </c>
      <c r="J573">
        <f t="shared" si="37"/>
        <v>2.6733596966392619</v>
      </c>
    </row>
    <row r="574" spans="1:10" x14ac:dyDescent="0.35">
      <c r="A574" s="2" t="s">
        <v>326</v>
      </c>
      <c r="B574" s="84">
        <v>0</v>
      </c>
      <c r="C574" s="83">
        <v>0</v>
      </c>
      <c r="D574" s="85">
        <v>0</v>
      </c>
      <c r="E574" s="32">
        <v>0</v>
      </c>
      <c r="F574" s="76">
        <v>0</v>
      </c>
      <c r="G574" s="79">
        <v>1</v>
      </c>
      <c r="H574" s="58">
        <f t="shared" si="36"/>
        <v>0.12908464182741208</v>
      </c>
      <c r="I574" cm="1">
        <f t="array" ref="I574">SQRT(MMULT(B574:F574,MMULT($M$273:$Q$277,TRANSPOSE(B574:F574))))</f>
        <v>0</v>
      </c>
      <c r="J574">
        <f t="shared" si="37"/>
        <v>0</v>
      </c>
    </row>
    <row r="575" spans="1:10" x14ac:dyDescent="0.35">
      <c r="A575" s="2" t="s">
        <v>327</v>
      </c>
      <c r="B575" s="84">
        <v>1</v>
      </c>
      <c r="C575" s="83">
        <v>0</v>
      </c>
      <c r="D575" s="85">
        <v>0</v>
      </c>
      <c r="E575" s="32">
        <v>0</v>
      </c>
      <c r="F575" s="76">
        <v>0</v>
      </c>
      <c r="G575" s="79">
        <v>0</v>
      </c>
      <c r="H575" s="58">
        <f t="shared" si="36"/>
        <v>-2.3787866406326165E-2</v>
      </c>
      <c r="I575" cm="1">
        <f t="array" ref="I575">SQRT(MMULT(B575:F575,MMULT($M$273:$Q$277,TRANSPOSE(B575:F575))))</f>
        <v>1</v>
      </c>
      <c r="J575">
        <f t="shared" si="37"/>
        <v>-42.038238441345001</v>
      </c>
    </row>
    <row r="576" spans="1:10" x14ac:dyDescent="0.35">
      <c r="A576" s="2" t="s">
        <v>328</v>
      </c>
      <c r="B576" s="84">
        <v>0</v>
      </c>
      <c r="C576" s="83">
        <v>1</v>
      </c>
      <c r="D576" s="85">
        <v>0</v>
      </c>
      <c r="E576" s="32">
        <v>0</v>
      </c>
      <c r="F576" s="76">
        <v>0</v>
      </c>
      <c r="G576" s="79">
        <v>0</v>
      </c>
      <c r="H576" s="58">
        <f t="shared" si="36"/>
        <v>0.13033077014351802</v>
      </c>
      <c r="I576" cm="1">
        <f t="array" ref="I576">SQRT(MMULT(B576:F576,MMULT($M$273:$Q$277,TRANSPOSE(B576:F576))))</f>
        <v>1</v>
      </c>
      <c r="J576">
        <f t="shared" si="37"/>
        <v>7.6727851673002245</v>
      </c>
    </row>
    <row r="577" spans="1:10" x14ac:dyDescent="0.35">
      <c r="A577" s="2" t="s">
        <v>329</v>
      </c>
      <c r="B577" s="84">
        <v>0</v>
      </c>
      <c r="C577" s="83">
        <v>0</v>
      </c>
      <c r="D577" s="85">
        <v>1</v>
      </c>
      <c r="E577" s="32">
        <v>0</v>
      </c>
      <c r="F577" s="76">
        <v>0</v>
      </c>
      <c r="G577" s="79">
        <v>0</v>
      </c>
      <c r="H577" s="58">
        <f t="shared" si="36"/>
        <v>-6.5815488675701445E-2</v>
      </c>
      <c r="I577" cm="1">
        <f t="array" ref="I577">SQRT(MMULT(B577:F577,MMULT($M$273:$Q$277,TRANSPOSE(B577:F577))))</f>
        <v>1</v>
      </c>
      <c r="J577">
        <f t="shared" si="37"/>
        <v>-15.193991872147143</v>
      </c>
    </row>
    <row r="578" spans="1:10" x14ac:dyDescent="0.35">
      <c r="A578" s="2" t="s">
        <v>330</v>
      </c>
      <c r="B578" s="84">
        <v>0</v>
      </c>
      <c r="C578" s="83">
        <v>0</v>
      </c>
      <c r="D578" s="85">
        <v>0</v>
      </c>
      <c r="E578" s="32">
        <v>0</v>
      </c>
      <c r="F578" s="76">
        <v>1</v>
      </c>
      <c r="G578" s="79">
        <v>0</v>
      </c>
      <c r="H578" s="58">
        <f t="shared" si="36"/>
        <v>0.20598316606399353</v>
      </c>
      <c r="I578" cm="1">
        <f t="array" ref="I578">SQRT(MMULT(B578:F578,MMULT($M$273:$Q$277,TRANSPOSE(B578:F578))))</f>
        <v>1</v>
      </c>
      <c r="J578">
        <f t="shared" si="37"/>
        <v>4.8547656544386077</v>
      </c>
    </row>
    <row r="579" spans="1:10" x14ac:dyDescent="0.35">
      <c r="B579" s="71"/>
      <c r="C579" s="48"/>
      <c r="D579" s="75"/>
      <c r="F579" s="77"/>
      <c r="G579" s="80"/>
    </row>
    <row r="580" spans="1:10" x14ac:dyDescent="0.35">
      <c r="B580" s="71"/>
      <c r="C580" s="48"/>
      <c r="D580" s="75"/>
      <c r="F580" s="77"/>
      <c r="G580" s="80"/>
    </row>
    <row r="581" spans="1:10" x14ac:dyDescent="0.35">
      <c r="B581" s="71"/>
      <c r="C581" s="48"/>
      <c r="D581" s="75"/>
      <c r="F581" s="77"/>
      <c r="G581" s="80"/>
    </row>
    <row r="582" spans="1:10" x14ac:dyDescent="0.35">
      <c r="B582" s="71"/>
      <c r="C582" s="48"/>
      <c r="D582" s="75"/>
      <c r="F582" s="77"/>
      <c r="G582" s="80"/>
    </row>
    <row r="583" spans="1:10" x14ac:dyDescent="0.35">
      <c r="B583" s="71"/>
      <c r="C583" s="48"/>
      <c r="D583" s="75"/>
      <c r="F583" s="77"/>
      <c r="G583" s="80"/>
    </row>
    <row r="584" spans="1:10" x14ac:dyDescent="0.35">
      <c r="B584" s="71"/>
      <c r="C584" s="48"/>
      <c r="D584" s="75"/>
      <c r="F584" s="77"/>
      <c r="G584" s="80"/>
    </row>
    <row r="585" spans="1:10" x14ac:dyDescent="0.35">
      <c r="B585" s="71"/>
      <c r="C585" s="48"/>
      <c r="D585" s="75"/>
      <c r="F585" s="77"/>
      <c r="G585" s="80"/>
    </row>
    <row r="586" spans="1:10" x14ac:dyDescent="0.35">
      <c r="B586" s="71"/>
      <c r="C586" s="48"/>
      <c r="D586" s="75"/>
      <c r="F586" s="77"/>
      <c r="G586" s="80"/>
    </row>
    <row r="587" spans="1:10" x14ac:dyDescent="0.35">
      <c r="B587" s="71"/>
      <c r="C587" s="48"/>
      <c r="D587" s="75"/>
      <c r="F587" s="77"/>
      <c r="G587" s="80"/>
    </row>
    <row r="588" spans="1:10" x14ac:dyDescent="0.35">
      <c r="B588" s="71"/>
      <c r="C588" s="48"/>
      <c r="D588" s="75"/>
      <c r="F588" s="77"/>
      <c r="G588" s="80"/>
    </row>
    <row r="589" spans="1:10" x14ac:dyDescent="0.35">
      <c r="B589" s="71"/>
      <c r="C589" s="48"/>
      <c r="D589" s="75"/>
      <c r="F589" s="77"/>
      <c r="G589" s="80"/>
    </row>
    <row r="590" spans="1:10" x14ac:dyDescent="0.35">
      <c r="B590" s="71"/>
      <c r="C590" s="48"/>
      <c r="D590" s="75"/>
      <c r="F590" s="77"/>
      <c r="G590" s="80"/>
    </row>
    <row r="591" spans="1:10" x14ac:dyDescent="0.35">
      <c r="B591" s="71"/>
      <c r="C591" s="48"/>
      <c r="D591" s="75"/>
      <c r="F591" s="77"/>
      <c r="G591" s="80"/>
    </row>
    <row r="592" spans="1:10" x14ac:dyDescent="0.35">
      <c r="B592" s="71"/>
      <c r="C592" s="48"/>
      <c r="D592" s="75"/>
      <c r="F592" s="77"/>
      <c r="G592" s="80"/>
    </row>
    <row r="593" spans="2:7" x14ac:dyDescent="0.35">
      <c r="B593" s="71"/>
      <c r="C593" s="48"/>
      <c r="D593" s="75"/>
      <c r="F593" s="77"/>
      <c r="G593" s="80"/>
    </row>
    <row r="594" spans="2:7" x14ac:dyDescent="0.35">
      <c r="B594" s="71"/>
      <c r="C594" s="48"/>
      <c r="D594" s="75"/>
      <c r="F594" s="77"/>
      <c r="G594" s="80"/>
    </row>
    <row r="595" spans="2:7" x14ac:dyDescent="0.35">
      <c r="B595" s="71"/>
      <c r="C595" s="48"/>
      <c r="D595" s="75"/>
      <c r="F595" s="77"/>
      <c r="G595" s="80"/>
    </row>
    <row r="596" spans="2:7" x14ac:dyDescent="0.35">
      <c r="B596" s="71"/>
      <c r="C596" s="48"/>
      <c r="D596" s="75"/>
      <c r="F596" s="77"/>
      <c r="G596" s="80"/>
    </row>
    <row r="597" spans="2:7" x14ac:dyDescent="0.35">
      <c r="B597" s="71"/>
      <c r="C597" s="48"/>
      <c r="D597" s="75"/>
      <c r="F597" s="77"/>
      <c r="G597" s="80"/>
    </row>
    <row r="598" spans="2:7" x14ac:dyDescent="0.35">
      <c r="B598" s="71"/>
      <c r="C598" s="48"/>
      <c r="D598" s="75"/>
      <c r="F598" s="77"/>
      <c r="G598" s="80"/>
    </row>
    <row r="599" spans="2:7" x14ac:dyDescent="0.35">
      <c r="B599" s="71"/>
      <c r="C599" s="48"/>
      <c r="D599" s="75"/>
      <c r="F599" s="77"/>
      <c r="G599" s="80"/>
    </row>
    <row r="600" spans="2:7" x14ac:dyDescent="0.35">
      <c r="B600" s="71"/>
      <c r="C600" s="48"/>
      <c r="D600" s="75"/>
      <c r="F600" s="77"/>
      <c r="G600" s="80"/>
    </row>
    <row r="601" spans="2:7" x14ac:dyDescent="0.35">
      <c r="B601" s="71"/>
      <c r="C601" s="48"/>
      <c r="D601" s="75"/>
      <c r="F601" s="77"/>
      <c r="G601" s="80"/>
    </row>
    <row r="602" spans="2:7" x14ac:dyDescent="0.35">
      <c r="B602" s="71"/>
      <c r="C602" s="48"/>
      <c r="D602" s="75"/>
      <c r="F602" s="77"/>
      <c r="G602" s="80"/>
    </row>
    <row r="603" spans="2:7" x14ac:dyDescent="0.35">
      <c r="B603" s="71"/>
      <c r="C603" s="48"/>
      <c r="D603" s="75"/>
      <c r="F603" s="77"/>
      <c r="G603" s="80"/>
    </row>
    <row r="604" spans="2:7" x14ac:dyDescent="0.35">
      <c r="C604" s="48"/>
      <c r="D604" s="75"/>
      <c r="F604" s="77"/>
      <c r="G604" s="80"/>
    </row>
    <row r="605" spans="2:7" x14ac:dyDescent="0.35">
      <c r="C605" s="48"/>
      <c r="D605" s="75"/>
      <c r="F605" s="77"/>
      <c r="G605" s="80"/>
    </row>
    <row r="606" spans="2:7" x14ac:dyDescent="0.35">
      <c r="C606" s="48"/>
      <c r="D606" s="75"/>
      <c r="F606" s="77"/>
      <c r="G606" s="80"/>
    </row>
    <row r="607" spans="2:7" x14ac:dyDescent="0.35">
      <c r="C607" s="48"/>
      <c r="D607" s="75"/>
      <c r="F607" s="77"/>
      <c r="G607" s="80"/>
    </row>
    <row r="608" spans="2:7" x14ac:dyDescent="0.35">
      <c r="C608" s="48"/>
      <c r="D608" s="75"/>
      <c r="F608" s="77"/>
      <c r="G608" s="80"/>
    </row>
    <row r="609" spans="3:7" x14ac:dyDescent="0.35">
      <c r="C609" s="48"/>
      <c r="D609" s="75"/>
      <c r="F609" s="77"/>
      <c r="G609" s="80"/>
    </row>
    <row r="610" spans="3:7" x14ac:dyDescent="0.35">
      <c r="C610" s="48"/>
      <c r="D610" s="75"/>
      <c r="F610" s="77"/>
      <c r="G610" s="80"/>
    </row>
    <row r="611" spans="3:7" x14ac:dyDescent="0.35">
      <c r="C611" s="48"/>
      <c r="D611" s="75"/>
      <c r="F611" s="77"/>
      <c r="G611" s="80"/>
    </row>
    <row r="612" spans="3:7" x14ac:dyDescent="0.35">
      <c r="C612" s="48"/>
      <c r="D612" s="75"/>
      <c r="F612" s="77"/>
      <c r="G612" s="80"/>
    </row>
    <row r="613" spans="3:7" x14ac:dyDescent="0.35">
      <c r="C613" s="48"/>
      <c r="D613" s="75"/>
      <c r="F613" s="77"/>
      <c r="G613" s="80"/>
    </row>
    <row r="614" spans="3:7" x14ac:dyDescent="0.35">
      <c r="C614" s="48"/>
      <c r="D614" s="75"/>
      <c r="F614" s="77"/>
      <c r="G614" s="80"/>
    </row>
    <row r="615" spans="3:7" x14ac:dyDescent="0.35">
      <c r="C615" s="48"/>
      <c r="D615" s="75"/>
      <c r="F615" s="77"/>
      <c r="G615" s="80"/>
    </row>
    <row r="616" spans="3:7" x14ac:dyDescent="0.35">
      <c r="C616" s="48"/>
      <c r="D616" s="75"/>
      <c r="F616" s="77"/>
      <c r="G616" s="80"/>
    </row>
    <row r="617" spans="3:7" x14ac:dyDescent="0.35">
      <c r="C617" s="48"/>
      <c r="D617" s="75"/>
      <c r="F617" s="77"/>
      <c r="G617" s="80"/>
    </row>
    <row r="618" spans="3:7" x14ac:dyDescent="0.35">
      <c r="C618" s="48"/>
      <c r="D618" s="75"/>
      <c r="F618" s="77"/>
      <c r="G618" s="80"/>
    </row>
    <row r="619" spans="3:7" x14ac:dyDescent="0.35">
      <c r="C619" s="48"/>
      <c r="D619" s="75"/>
      <c r="F619" s="77"/>
      <c r="G619" s="80"/>
    </row>
    <row r="620" spans="3:7" x14ac:dyDescent="0.35">
      <c r="C620" s="48"/>
      <c r="D620" s="75"/>
      <c r="F620" s="77"/>
      <c r="G620" s="80"/>
    </row>
    <row r="621" spans="3:7" x14ac:dyDescent="0.35">
      <c r="C621" s="48"/>
      <c r="D621" s="75"/>
      <c r="F621" s="77"/>
      <c r="G621" s="80"/>
    </row>
    <row r="622" spans="3:7" x14ac:dyDescent="0.35">
      <c r="C622" s="48"/>
      <c r="D622" s="75"/>
      <c r="F622" s="77"/>
      <c r="G622" s="80"/>
    </row>
    <row r="623" spans="3:7" x14ac:dyDescent="0.35">
      <c r="C623" s="48"/>
      <c r="D623" s="75"/>
      <c r="F623" s="77"/>
      <c r="G623" s="80"/>
    </row>
    <row r="624" spans="3:7" x14ac:dyDescent="0.35">
      <c r="C624" s="48"/>
      <c r="D624" s="75"/>
      <c r="F624" s="77"/>
      <c r="G624" s="80"/>
    </row>
    <row r="625" spans="3:7" x14ac:dyDescent="0.35">
      <c r="C625" s="48"/>
      <c r="D625" s="75"/>
      <c r="F625" s="77"/>
      <c r="G625" s="80"/>
    </row>
    <row r="626" spans="3:7" x14ac:dyDescent="0.35">
      <c r="C626" s="48"/>
      <c r="D626" s="75"/>
      <c r="F626" s="77"/>
      <c r="G626" s="80"/>
    </row>
    <row r="627" spans="3:7" x14ac:dyDescent="0.35">
      <c r="C627" s="48"/>
      <c r="D627" s="75"/>
      <c r="F627" s="77"/>
      <c r="G627" s="80"/>
    </row>
    <row r="628" spans="3:7" x14ac:dyDescent="0.35">
      <c r="C628" s="48"/>
      <c r="D628" s="75"/>
      <c r="F628" s="77"/>
      <c r="G628" s="80"/>
    </row>
    <row r="629" spans="3:7" x14ac:dyDescent="0.35">
      <c r="C629" s="48"/>
      <c r="D629" s="75"/>
      <c r="F629" s="77"/>
      <c r="G629" s="80"/>
    </row>
    <row r="630" spans="3:7" x14ac:dyDescent="0.35">
      <c r="C630" s="48"/>
      <c r="D630" s="75"/>
      <c r="F630" s="77"/>
      <c r="G630" s="80"/>
    </row>
    <row r="631" spans="3:7" x14ac:dyDescent="0.35">
      <c r="C631" s="48"/>
      <c r="D631" s="75"/>
      <c r="F631" s="77"/>
      <c r="G631" s="80"/>
    </row>
    <row r="632" spans="3:7" x14ac:dyDescent="0.35">
      <c r="C632" s="48"/>
      <c r="D632" s="75"/>
      <c r="F632" s="77"/>
      <c r="G632" s="80"/>
    </row>
    <row r="633" spans="3:7" x14ac:dyDescent="0.35">
      <c r="C633" s="48"/>
      <c r="D633" s="75"/>
      <c r="F633" s="77"/>
      <c r="G633" s="80"/>
    </row>
    <row r="634" spans="3:7" x14ac:dyDescent="0.35">
      <c r="C634" s="48"/>
      <c r="D634" s="75"/>
      <c r="F634" s="77"/>
      <c r="G634" s="80"/>
    </row>
    <row r="635" spans="3:7" x14ac:dyDescent="0.35">
      <c r="C635" s="48"/>
      <c r="D635" s="75"/>
      <c r="F635" s="77"/>
      <c r="G635" s="80"/>
    </row>
    <row r="636" spans="3:7" x14ac:dyDescent="0.35">
      <c r="C636" s="48"/>
      <c r="D636" s="75"/>
      <c r="F636" s="77"/>
      <c r="G636" s="80"/>
    </row>
    <row r="637" spans="3:7" x14ac:dyDescent="0.35">
      <c r="C637" s="48"/>
      <c r="D637" s="75"/>
      <c r="F637" s="77"/>
      <c r="G637" s="80"/>
    </row>
    <row r="638" spans="3:7" x14ac:dyDescent="0.35">
      <c r="C638" s="48"/>
      <c r="D638" s="75"/>
      <c r="F638" s="77"/>
      <c r="G638" s="80"/>
    </row>
    <row r="639" spans="3:7" x14ac:dyDescent="0.35">
      <c r="C639" s="48"/>
      <c r="D639" s="75"/>
      <c r="F639" s="77"/>
      <c r="G639" s="80"/>
    </row>
    <row r="640" spans="3:7" x14ac:dyDescent="0.35">
      <c r="C640" s="48"/>
      <c r="D640" s="75"/>
      <c r="F640" s="77"/>
      <c r="G640" s="80"/>
    </row>
    <row r="641" spans="3:7" x14ac:dyDescent="0.35">
      <c r="C641" s="48"/>
      <c r="D641" s="75"/>
      <c r="F641" s="77"/>
      <c r="G641" s="80"/>
    </row>
    <row r="642" spans="3:7" x14ac:dyDescent="0.35">
      <c r="C642" s="48"/>
      <c r="D642" s="75"/>
      <c r="F642" s="77"/>
      <c r="G642" s="80"/>
    </row>
    <row r="643" spans="3:7" x14ac:dyDescent="0.35">
      <c r="C643" s="48"/>
      <c r="D643" s="75"/>
      <c r="F643" s="77"/>
      <c r="G643" s="80"/>
    </row>
    <row r="644" spans="3:7" x14ac:dyDescent="0.35">
      <c r="C644" s="48"/>
      <c r="D644" s="75"/>
      <c r="F644" s="77"/>
      <c r="G644" s="80"/>
    </row>
    <row r="645" spans="3:7" x14ac:dyDescent="0.35">
      <c r="C645" s="48"/>
      <c r="D645" s="75"/>
      <c r="F645" s="77"/>
      <c r="G645" s="80"/>
    </row>
    <row r="646" spans="3:7" x14ac:dyDescent="0.35">
      <c r="C646" s="48"/>
      <c r="D646" s="75"/>
      <c r="F646" s="77"/>
      <c r="G646" s="80"/>
    </row>
    <row r="647" spans="3:7" x14ac:dyDescent="0.35">
      <c r="C647" s="48"/>
      <c r="D647" s="75"/>
      <c r="F647" s="77"/>
      <c r="G647" s="80"/>
    </row>
    <row r="648" spans="3:7" x14ac:dyDescent="0.35">
      <c r="C648" s="48"/>
      <c r="D648" s="75"/>
      <c r="F648" s="77"/>
      <c r="G648" s="80"/>
    </row>
    <row r="649" spans="3:7" x14ac:dyDescent="0.35">
      <c r="C649" s="48"/>
      <c r="D649" s="75"/>
      <c r="F649" s="77"/>
      <c r="G649" s="80"/>
    </row>
    <row r="650" spans="3:7" x14ac:dyDescent="0.35">
      <c r="C650" s="48"/>
      <c r="D650" s="75"/>
      <c r="F650" s="77"/>
      <c r="G650" s="80"/>
    </row>
    <row r="651" spans="3:7" x14ac:dyDescent="0.35">
      <c r="C651" s="48"/>
      <c r="D651" s="75"/>
      <c r="F651" s="77"/>
      <c r="G651" s="80"/>
    </row>
    <row r="652" spans="3:7" x14ac:dyDescent="0.35">
      <c r="C652" s="48"/>
      <c r="D652" s="75"/>
      <c r="F652" s="77"/>
      <c r="G652" s="80"/>
    </row>
    <row r="653" spans="3:7" x14ac:dyDescent="0.35">
      <c r="C653" s="48"/>
      <c r="D653" s="75"/>
      <c r="F653" s="77"/>
      <c r="G653" s="80"/>
    </row>
    <row r="654" spans="3:7" x14ac:dyDescent="0.35">
      <c r="C654" s="48"/>
      <c r="D654" s="75"/>
      <c r="F654" s="77"/>
      <c r="G654" s="80"/>
    </row>
    <row r="655" spans="3:7" x14ac:dyDescent="0.35">
      <c r="C655" s="48"/>
      <c r="D655" s="75"/>
      <c r="F655" s="77"/>
      <c r="G655" s="80"/>
    </row>
    <row r="656" spans="3:7" x14ac:dyDescent="0.35">
      <c r="C656" s="48"/>
      <c r="D656" s="75"/>
      <c r="F656" s="77"/>
      <c r="G656" s="80"/>
    </row>
    <row r="657" spans="3:7" x14ac:dyDescent="0.35">
      <c r="C657" s="48"/>
      <c r="D657" s="75"/>
      <c r="F657" s="77"/>
      <c r="G657" s="80"/>
    </row>
    <row r="658" spans="3:7" x14ac:dyDescent="0.35">
      <c r="C658" s="48"/>
      <c r="D658" s="75"/>
      <c r="F658" s="77"/>
      <c r="G658" s="80"/>
    </row>
    <row r="659" spans="3:7" x14ac:dyDescent="0.35">
      <c r="C659" s="48"/>
      <c r="D659" s="75"/>
      <c r="F659" s="77"/>
      <c r="G659" s="80"/>
    </row>
    <row r="660" spans="3:7" x14ac:dyDescent="0.35">
      <c r="C660" s="48"/>
      <c r="D660" s="75"/>
      <c r="F660" s="77"/>
      <c r="G660" s="80"/>
    </row>
    <row r="661" spans="3:7" x14ac:dyDescent="0.35">
      <c r="C661" s="48"/>
      <c r="D661" s="75"/>
      <c r="F661" s="77"/>
      <c r="G661" s="80"/>
    </row>
    <row r="662" spans="3:7" x14ac:dyDescent="0.35">
      <c r="C662" s="48"/>
      <c r="D662" s="75"/>
      <c r="F662" s="77"/>
      <c r="G662" s="80"/>
    </row>
    <row r="663" spans="3:7" x14ac:dyDescent="0.35">
      <c r="C663" s="48"/>
      <c r="D663" s="75"/>
      <c r="F663" s="77"/>
      <c r="G663" s="80"/>
    </row>
    <row r="664" spans="3:7" x14ac:dyDescent="0.35">
      <c r="C664" s="48"/>
      <c r="D664" s="75"/>
      <c r="F664" s="77"/>
      <c r="G664" s="80"/>
    </row>
    <row r="665" spans="3:7" x14ac:dyDescent="0.35">
      <c r="C665" s="48"/>
      <c r="D665" s="75"/>
      <c r="F665" s="77"/>
      <c r="G665" s="80"/>
    </row>
    <row r="666" spans="3:7" x14ac:dyDescent="0.35">
      <c r="C666" s="48"/>
      <c r="D666" s="75"/>
      <c r="F666" s="77"/>
      <c r="G666" s="80"/>
    </row>
    <row r="667" spans="3:7" x14ac:dyDescent="0.35">
      <c r="C667" s="48"/>
      <c r="D667" s="75"/>
      <c r="F667" s="77"/>
      <c r="G667" s="80"/>
    </row>
    <row r="668" spans="3:7" x14ac:dyDescent="0.35">
      <c r="C668" s="48"/>
      <c r="D668" s="75"/>
      <c r="F668" s="77"/>
      <c r="G668" s="80"/>
    </row>
    <row r="669" spans="3:7" x14ac:dyDescent="0.35">
      <c r="C669" s="48"/>
      <c r="D669" s="75"/>
      <c r="F669" s="77"/>
      <c r="G669" s="80"/>
    </row>
    <row r="670" spans="3:7" x14ac:dyDescent="0.35">
      <c r="C670" s="48"/>
      <c r="D670" s="75"/>
      <c r="F670" s="77"/>
      <c r="G670" s="80"/>
    </row>
    <row r="671" spans="3:7" x14ac:dyDescent="0.35">
      <c r="C671" s="48"/>
      <c r="D671" s="75"/>
      <c r="F671" s="77"/>
      <c r="G671" s="80"/>
    </row>
    <row r="672" spans="3:7" x14ac:dyDescent="0.35">
      <c r="C672" s="48"/>
      <c r="D672" s="75"/>
      <c r="F672" s="77"/>
      <c r="G672" s="80"/>
    </row>
    <row r="673" spans="3:7" x14ac:dyDescent="0.35">
      <c r="C673" s="48"/>
      <c r="D673" s="75"/>
      <c r="F673" s="77"/>
      <c r="G673" s="80"/>
    </row>
    <row r="674" spans="3:7" x14ac:dyDescent="0.35">
      <c r="C674" s="48"/>
      <c r="D674" s="75"/>
      <c r="F674" s="77"/>
      <c r="G674" s="80"/>
    </row>
    <row r="675" spans="3:7" x14ac:dyDescent="0.35">
      <c r="C675" s="48"/>
      <c r="D675" s="75"/>
      <c r="F675" s="77"/>
      <c r="G675" s="80"/>
    </row>
    <row r="676" spans="3:7" x14ac:dyDescent="0.35">
      <c r="C676" s="48"/>
      <c r="D676" s="75"/>
      <c r="F676" s="77"/>
      <c r="G676" s="80"/>
    </row>
    <row r="677" spans="3:7" x14ac:dyDescent="0.35">
      <c r="C677" s="48"/>
      <c r="D677" s="75"/>
      <c r="F677" s="77"/>
      <c r="G677" s="80"/>
    </row>
    <row r="678" spans="3:7" x14ac:dyDescent="0.35">
      <c r="C678" s="48"/>
      <c r="D678" s="75"/>
      <c r="F678" s="77"/>
      <c r="G678" s="80"/>
    </row>
    <row r="679" spans="3:7" x14ac:dyDescent="0.35">
      <c r="C679" s="48"/>
      <c r="D679" s="75"/>
      <c r="F679" s="77"/>
      <c r="G679" s="80"/>
    </row>
    <row r="680" spans="3:7" x14ac:dyDescent="0.35">
      <c r="C680" s="48"/>
      <c r="D680" s="75"/>
      <c r="F680" s="77"/>
      <c r="G680" s="80"/>
    </row>
    <row r="681" spans="3:7" x14ac:dyDescent="0.35">
      <c r="C681" s="48"/>
      <c r="D681" s="75"/>
      <c r="F681" s="77"/>
      <c r="G681" s="80"/>
    </row>
    <row r="682" spans="3:7" x14ac:dyDescent="0.35">
      <c r="C682" s="48"/>
      <c r="D682" s="75"/>
      <c r="F682" s="77"/>
      <c r="G682" s="80"/>
    </row>
    <row r="683" spans="3:7" x14ac:dyDescent="0.35">
      <c r="C683" s="48"/>
      <c r="D683" s="75"/>
      <c r="F683" s="77"/>
      <c r="G683" s="80"/>
    </row>
    <row r="684" spans="3:7" x14ac:dyDescent="0.35">
      <c r="C684" s="48"/>
      <c r="D684" s="75"/>
      <c r="F684" s="77"/>
      <c r="G684" s="80"/>
    </row>
    <row r="685" spans="3:7" x14ac:dyDescent="0.35">
      <c r="C685" s="48"/>
      <c r="D685" s="75"/>
      <c r="F685" s="77"/>
      <c r="G685" s="80"/>
    </row>
    <row r="686" spans="3:7" x14ac:dyDescent="0.35">
      <c r="C686" s="48"/>
      <c r="D686" s="75"/>
      <c r="F686" s="77"/>
      <c r="G686" s="80"/>
    </row>
    <row r="687" spans="3:7" x14ac:dyDescent="0.35">
      <c r="C687" s="48"/>
      <c r="D687" s="75"/>
      <c r="F687" s="77"/>
      <c r="G687" s="80"/>
    </row>
    <row r="688" spans="3:7" x14ac:dyDescent="0.35">
      <c r="C688" s="48"/>
      <c r="D688" s="75"/>
      <c r="F688" s="77"/>
      <c r="G688" s="80"/>
    </row>
    <row r="689" spans="3:7" x14ac:dyDescent="0.35">
      <c r="C689" s="48"/>
      <c r="D689" s="75"/>
      <c r="F689" s="77"/>
      <c r="G689" s="80"/>
    </row>
    <row r="690" spans="3:7" x14ac:dyDescent="0.35">
      <c r="C690" s="48"/>
      <c r="D690" s="75"/>
      <c r="F690" s="77"/>
      <c r="G690" s="80"/>
    </row>
    <row r="691" spans="3:7" x14ac:dyDescent="0.35">
      <c r="C691" s="48"/>
      <c r="D691" s="75"/>
      <c r="F691" s="77"/>
      <c r="G691" s="80"/>
    </row>
    <row r="692" spans="3:7" x14ac:dyDescent="0.35">
      <c r="C692" s="48"/>
      <c r="D692" s="75"/>
      <c r="F692" s="77"/>
      <c r="G692" s="80"/>
    </row>
    <row r="693" spans="3:7" x14ac:dyDescent="0.35">
      <c r="C693" s="48"/>
      <c r="D693" s="75"/>
      <c r="F693" s="77"/>
      <c r="G693" s="80"/>
    </row>
    <row r="694" spans="3:7" x14ac:dyDescent="0.35">
      <c r="C694" s="48"/>
      <c r="D694" s="75"/>
      <c r="F694" s="77"/>
      <c r="G694" s="80"/>
    </row>
    <row r="695" spans="3:7" x14ac:dyDescent="0.35">
      <c r="C695" s="48"/>
      <c r="D695" s="75"/>
      <c r="F695" s="77"/>
      <c r="G695" s="80"/>
    </row>
    <row r="696" spans="3:7" x14ac:dyDescent="0.35">
      <c r="C696" s="48"/>
      <c r="D696" s="75"/>
      <c r="F696" s="77"/>
      <c r="G696" s="80"/>
    </row>
    <row r="697" spans="3:7" x14ac:dyDescent="0.35">
      <c r="C697" s="48"/>
      <c r="D697" s="75"/>
      <c r="F697" s="77"/>
      <c r="G697" s="80"/>
    </row>
    <row r="698" spans="3:7" x14ac:dyDescent="0.35">
      <c r="C698" s="48"/>
      <c r="D698" s="75"/>
      <c r="F698" s="77"/>
      <c r="G698" s="80"/>
    </row>
    <row r="699" spans="3:7" x14ac:dyDescent="0.35">
      <c r="C699" s="48"/>
      <c r="D699" s="75"/>
      <c r="F699" s="77"/>
      <c r="G699" s="80"/>
    </row>
    <row r="700" spans="3:7" x14ac:dyDescent="0.35">
      <c r="C700" s="48"/>
      <c r="D700" s="75"/>
      <c r="F700" s="77"/>
      <c r="G700" s="80"/>
    </row>
    <row r="701" spans="3:7" x14ac:dyDescent="0.35">
      <c r="C701" s="48"/>
      <c r="D701" s="75"/>
      <c r="F701" s="77"/>
      <c r="G701" s="80"/>
    </row>
    <row r="702" spans="3:7" x14ac:dyDescent="0.35">
      <c r="C702" s="48"/>
      <c r="D702" s="75"/>
      <c r="F702" s="77"/>
      <c r="G702" s="80"/>
    </row>
    <row r="703" spans="3:7" x14ac:dyDescent="0.35">
      <c r="C703" s="48"/>
      <c r="D703" s="75"/>
      <c r="F703" s="77"/>
      <c r="G703" s="80"/>
    </row>
    <row r="704" spans="3:7" x14ac:dyDescent="0.35">
      <c r="C704" s="48"/>
      <c r="D704" s="75"/>
      <c r="F704" s="77"/>
      <c r="G704" s="80"/>
    </row>
    <row r="705" spans="3:7" x14ac:dyDescent="0.35">
      <c r="C705" s="48"/>
      <c r="D705" s="75"/>
      <c r="F705" s="77"/>
      <c r="G705" s="80"/>
    </row>
    <row r="706" spans="3:7" x14ac:dyDescent="0.35">
      <c r="C706" s="48"/>
      <c r="D706" s="75"/>
      <c r="F706" s="77"/>
      <c r="G706" s="80"/>
    </row>
    <row r="707" spans="3:7" x14ac:dyDescent="0.35">
      <c r="C707" s="48"/>
      <c r="D707" s="75"/>
      <c r="F707" s="77"/>
      <c r="G707" s="80"/>
    </row>
    <row r="708" spans="3:7" x14ac:dyDescent="0.35">
      <c r="C708" s="48"/>
      <c r="D708" s="75"/>
      <c r="F708" s="77"/>
      <c r="G708" s="80"/>
    </row>
    <row r="709" spans="3:7" x14ac:dyDescent="0.35">
      <c r="C709" s="48"/>
      <c r="D709" s="75"/>
      <c r="F709" s="77"/>
      <c r="G709" s="80"/>
    </row>
    <row r="710" spans="3:7" x14ac:dyDescent="0.35">
      <c r="C710" s="48"/>
      <c r="D710" s="75"/>
      <c r="F710" s="77"/>
      <c r="G710" s="80"/>
    </row>
    <row r="711" spans="3:7" x14ac:dyDescent="0.35">
      <c r="C711" s="48"/>
      <c r="D711" s="75"/>
      <c r="F711" s="77"/>
      <c r="G711" s="80"/>
    </row>
    <row r="712" spans="3:7" x14ac:dyDescent="0.35">
      <c r="C712" s="48"/>
      <c r="D712" s="75"/>
      <c r="F712" s="77"/>
      <c r="G712" s="80"/>
    </row>
    <row r="713" spans="3:7" x14ac:dyDescent="0.35">
      <c r="C713" s="48"/>
      <c r="D713" s="75"/>
      <c r="F713" s="77"/>
      <c r="G713" s="80"/>
    </row>
    <row r="714" spans="3:7" x14ac:dyDescent="0.35">
      <c r="C714" s="48"/>
      <c r="D714" s="75"/>
      <c r="F714" s="77"/>
      <c r="G714" s="80"/>
    </row>
    <row r="715" spans="3:7" x14ac:dyDescent="0.35">
      <c r="C715" s="48"/>
      <c r="D715" s="75"/>
      <c r="F715" s="77"/>
      <c r="G715" s="80"/>
    </row>
    <row r="716" spans="3:7" x14ac:dyDescent="0.35">
      <c r="C716" s="48"/>
      <c r="D716" s="75"/>
      <c r="F716" s="77"/>
      <c r="G716" s="80"/>
    </row>
    <row r="717" spans="3:7" x14ac:dyDescent="0.35">
      <c r="C717" s="48"/>
      <c r="D717" s="75"/>
      <c r="F717" s="77"/>
      <c r="G717" s="80"/>
    </row>
    <row r="718" spans="3:7" x14ac:dyDescent="0.35">
      <c r="C718" s="48"/>
      <c r="D718" s="75"/>
      <c r="F718" s="77"/>
      <c r="G718" s="80"/>
    </row>
    <row r="719" spans="3:7" x14ac:dyDescent="0.35">
      <c r="C719" s="48"/>
      <c r="D719" s="75"/>
      <c r="F719" s="77"/>
      <c r="G719" s="80"/>
    </row>
    <row r="720" spans="3:7" x14ac:dyDescent="0.35">
      <c r="C720" s="48"/>
      <c r="D720" s="75"/>
      <c r="F720" s="77"/>
      <c r="G720" s="80"/>
    </row>
    <row r="721" spans="3:7" x14ac:dyDescent="0.35">
      <c r="C721" s="48"/>
      <c r="D721" s="75"/>
      <c r="F721" s="77"/>
      <c r="G721" s="80"/>
    </row>
    <row r="722" spans="3:7" x14ac:dyDescent="0.35">
      <c r="C722" s="48"/>
      <c r="D722" s="75"/>
      <c r="F722" s="77"/>
      <c r="G722" s="80"/>
    </row>
    <row r="723" spans="3:7" x14ac:dyDescent="0.35">
      <c r="C723" s="48"/>
      <c r="D723" s="75"/>
      <c r="F723" s="77"/>
      <c r="G723" s="80"/>
    </row>
    <row r="724" spans="3:7" x14ac:dyDescent="0.35">
      <c r="C724" s="48"/>
      <c r="D724" s="75"/>
      <c r="F724" s="77"/>
      <c r="G724" s="80"/>
    </row>
    <row r="725" spans="3:7" x14ac:dyDescent="0.35">
      <c r="C725" s="48"/>
      <c r="D725" s="75"/>
      <c r="F725" s="77"/>
      <c r="G725" s="80"/>
    </row>
    <row r="726" spans="3:7" x14ac:dyDescent="0.35">
      <c r="C726" s="48"/>
      <c r="D726" s="75"/>
      <c r="F726" s="77"/>
      <c r="G726" s="80"/>
    </row>
    <row r="727" spans="3:7" x14ac:dyDescent="0.35">
      <c r="C727" s="48"/>
      <c r="D727" s="75"/>
      <c r="F727" s="77"/>
      <c r="G727" s="80"/>
    </row>
    <row r="728" spans="3:7" x14ac:dyDescent="0.35">
      <c r="C728" s="48"/>
      <c r="D728" s="75"/>
      <c r="F728" s="77"/>
      <c r="G728" s="80"/>
    </row>
    <row r="729" spans="3:7" x14ac:dyDescent="0.35">
      <c r="C729" s="48"/>
      <c r="D729" s="75"/>
      <c r="F729" s="77"/>
      <c r="G729" s="80"/>
    </row>
    <row r="730" spans="3:7" x14ac:dyDescent="0.35">
      <c r="C730" s="48"/>
      <c r="D730" s="75"/>
      <c r="F730" s="77"/>
      <c r="G730" s="80"/>
    </row>
    <row r="731" spans="3:7" x14ac:dyDescent="0.35">
      <c r="C731" s="48"/>
      <c r="D731" s="75"/>
      <c r="F731" s="77"/>
      <c r="G731" s="80"/>
    </row>
    <row r="732" spans="3:7" x14ac:dyDescent="0.35">
      <c r="C732" s="48"/>
      <c r="D732" s="75"/>
      <c r="F732" s="77"/>
      <c r="G732" s="80"/>
    </row>
    <row r="733" spans="3:7" x14ac:dyDescent="0.35">
      <c r="C733" s="48"/>
      <c r="D733" s="75"/>
      <c r="F733" s="77"/>
      <c r="G733" s="80"/>
    </row>
    <row r="734" spans="3:7" x14ac:dyDescent="0.35">
      <c r="C734" s="48"/>
      <c r="D734" s="75"/>
      <c r="F734" s="77"/>
      <c r="G734" s="80"/>
    </row>
    <row r="735" spans="3:7" x14ac:dyDescent="0.35">
      <c r="C735" s="48"/>
      <c r="D735" s="75"/>
      <c r="F735" s="77"/>
      <c r="G735" s="80"/>
    </row>
    <row r="736" spans="3:7" x14ac:dyDescent="0.35">
      <c r="C736" s="48"/>
      <c r="D736" s="75"/>
      <c r="F736" s="77"/>
      <c r="G736" s="80"/>
    </row>
    <row r="737" spans="3:7" x14ac:dyDescent="0.35">
      <c r="C737" s="48"/>
      <c r="D737" s="75"/>
      <c r="F737" s="77"/>
      <c r="G737" s="80"/>
    </row>
    <row r="738" spans="3:7" x14ac:dyDescent="0.35">
      <c r="C738" s="48"/>
      <c r="D738" s="75"/>
      <c r="F738" s="77"/>
      <c r="G738" s="80"/>
    </row>
    <row r="739" spans="3:7" x14ac:dyDescent="0.35">
      <c r="C739" s="48"/>
      <c r="D739" s="75"/>
      <c r="F739" s="77"/>
      <c r="G739" s="80"/>
    </row>
    <row r="740" spans="3:7" x14ac:dyDescent="0.35">
      <c r="C740" s="48"/>
      <c r="D740" s="75"/>
      <c r="F740" s="77"/>
      <c r="G740" s="80"/>
    </row>
    <row r="741" spans="3:7" x14ac:dyDescent="0.35">
      <c r="C741" s="48"/>
      <c r="D741" s="75"/>
      <c r="F741" s="77"/>
      <c r="G741" s="80"/>
    </row>
    <row r="742" spans="3:7" x14ac:dyDescent="0.35">
      <c r="C742" s="48"/>
      <c r="D742" s="75"/>
      <c r="F742" s="77"/>
      <c r="G742" s="80"/>
    </row>
    <row r="743" spans="3:7" x14ac:dyDescent="0.35">
      <c r="C743" s="48"/>
      <c r="D743" s="75"/>
      <c r="F743" s="77"/>
      <c r="G743" s="80"/>
    </row>
    <row r="744" spans="3:7" x14ac:dyDescent="0.35">
      <c r="C744" s="48"/>
      <c r="D744" s="75"/>
      <c r="F744" s="77"/>
      <c r="G744" s="80"/>
    </row>
    <row r="745" spans="3:7" x14ac:dyDescent="0.35">
      <c r="C745" s="48"/>
      <c r="D745" s="75"/>
      <c r="F745" s="77"/>
      <c r="G745" s="80"/>
    </row>
    <row r="746" spans="3:7" x14ac:dyDescent="0.35">
      <c r="C746" s="48"/>
      <c r="D746" s="75"/>
      <c r="F746" s="77"/>
      <c r="G746" s="80"/>
    </row>
    <row r="747" spans="3:7" x14ac:dyDescent="0.35">
      <c r="C747" s="48"/>
      <c r="D747" s="75"/>
      <c r="F747" s="77"/>
      <c r="G747" s="80"/>
    </row>
    <row r="748" spans="3:7" x14ac:dyDescent="0.35">
      <c r="C748" s="48"/>
      <c r="D748" s="75"/>
      <c r="F748" s="77"/>
      <c r="G748" s="80"/>
    </row>
    <row r="749" spans="3:7" x14ac:dyDescent="0.35">
      <c r="C749" s="48"/>
      <c r="D749" s="75"/>
      <c r="F749" s="77"/>
      <c r="G749" s="80"/>
    </row>
    <row r="750" spans="3:7" x14ac:dyDescent="0.35">
      <c r="C750" s="48"/>
      <c r="D750" s="75"/>
      <c r="F750" s="77"/>
      <c r="G750" s="80"/>
    </row>
    <row r="751" spans="3:7" x14ac:dyDescent="0.35">
      <c r="C751" s="48"/>
      <c r="D751" s="75"/>
      <c r="F751" s="77"/>
      <c r="G751" s="80"/>
    </row>
    <row r="752" spans="3:7" x14ac:dyDescent="0.35">
      <c r="C752" s="48"/>
      <c r="D752" s="75"/>
      <c r="F752" s="77"/>
      <c r="G752" s="80"/>
    </row>
    <row r="753" spans="3:7" x14ac:dyDescent="0.35">
      <c r="C753" s="48"/>
      <c r="D753" s="75"/>
      <c r="F753" s="77"/>
      <c r="G753" s="80"/>
    </row>
    <row r="754" spans="3:7" x14ac:dyDescent="0.35">
      <c r="C754" s="48"/>
      <c r="D754" s="75"/>
      <c r="F754" s="77"/>
      <c r="G754" s="80"/>
    </row>
    <row r="755" spans="3:7" x14ac:dyDescent="0.35">
      <c r="C755" s="48"/>
      <c r="D755" s="75"/>
      <c r="F755" s="77"/>
      <c r="G755" s="80"/>
    </row>
    <row r="756" spans="3:7" x14ac:dyDescent="0.35">
      <c r="C756" s="48"/>
      <c r="D756" s="75"/>
      <c r="F756" s="77"/>
      <c r="G756" s="80"/>
    </row>
    <row r="757" spans="3:7" x14ac:dyDescent="0.35">
      <c r="C757" s="48"/>
      <c r="D757" s="75"/>
      <c r="F757" s="77"/>
      <c r="G757" s="80"/>
    </row>
    <row r="758" spans="3:7" x14ac:dyDescent="0.35">
      <c r="C758" s="48"/>
      <c r="D758" s="75"/>
      <c r="F758" s="77"/>
      <c r="G758" s="80"/>
    </row>
    <row r="759" spans="3:7" x14ac:dyDescent="0.35">
      <c r="C759" s="48"/>
      <c r="D759" s="75"/>
      <c r="F759" s="77"/>
      <c r="G759" s="80"/>
    </row>
    <row r="760" spans="3:7" x14ac:dyDescent="0.35">
      <c r="C760" s="48"/>
      <c r="D760" s="75"/>
      <c r="F760" s="77"/>
      <c r="G760" s="80"/>
    </row>
    <row r="761" spans="3:7" x14ac:dyDescent="0.35">
      <c r="C761" s="48"/>
      <c r="D761" s="75"/>
      <c r="F761" s="77"/>
      <c r="G761" s="80"/>
    </row>
    <row r="762" spans="3:7" x14ac:dyDescent="0.35">
      <c r="C762" s="48"/>
      <c r="D762" s="75"/>
      <c r="F762" s="77"/>
      <c r="G762" s="80"/>
    </row>
    <row r="763" spans="3:7" x14ac:dyDescent="0.35">
      <c r="C763" s="48"/>
      <c r="D763" s="75"/>
      <c r="F763" s="77"/>
      <c r="G763" s="80"/>
    </row>
    <row r="764" spans="3:7" x14ac:dyDescent="0.35">
      <c r="C764" s="48"/>
      <c r="D764" s="75"/>
      <c r="F764" s="77"/>
      <c r="G764" s="80"/>
    </row>
    <row r="765" spans="3:7" x14ac:dyDescent="0.35">
      <c r="C765" s="48"/>
      <c r="D765" s="75"/>
      <c r="F765" s="77"/>
      <c r="G765" s="80"/>
    </row>
    <row r="766" spans="3:7" x14ac:dyDescent="0.35">
      <c r="C766" s="48"/>
      <c r="D766" s="75"/>
      <c r="F766" s="77"/>
      <c r="G766" s="80"/>
    </row>
    <row r="767" spans="3:7" x14ac:dyDescent="0.35">
      <c r="C767" s="48"/>
      <c r="D767" s="75"/>
      <c r="F767" s="77"/>
      <c r="G767" s="80"/>
    </row>
    <row r="768" spans="3:7" x14ac:dyDescent="0.35">
      <c r="C768" s="48"/>
      <c r="D768" s="75"/>
      <c r="F768" s="77"/>
      <c r="G768" s="80"/>
    </row>
    <row r="769" spans="3:7" x14ac:dyDescent="0.35">
      <c r="C769" s="48"/>
      <c r="D769" s="75"/>
      <c r="F769" s="77"/>
      <c r="G769" s="80"/>
    </row>
    <row r="770" spans="3:7" x14ac:dyDescent="0.35">
      <c r="C770" s="48"/>
      <c r="D770" s="75"/>
      <c r="F770" s="77"/>
      <c r="G770" s="80"/>
    </row>
    <row r="771" spans="3:7" x14ac:dyDescent="0.35">
      <c r="C771" s="48"/>
      <c r="D771" s="75"/>
      <c r="F771" s="77"/>
      <c r="G771" s="80"/>
    </row>
    <row r="772" spans="3:7" x14ac:dyDescent="0.35">
      <c r="C772" s="48"/>
      <c r="D772" s="75"/>
      <c r="F772" s="77"/>
      <c r="G772" s="80"/>
    </row>
    <row r="773" spans="3:7" x14ac:dyDescent="0.35">
      <c r="C773" s="48"/>
      <c r="D773" s="75"/>
      <c r="F773" s="77"/>
      <c r="G773" s="80"/>
    </row>
    <row r="774" spans="3:7" x14ac:dyDescent="0.35">
      <c r="C774" s="48"/>
      <c r="D774" s="75"/>
      <c r="F774" s="77"/>
      <c r="G774" s="80"/>
    </row>
    <row r="775" spans="3:7" x14ac:dyDescent="0.35">
      <c r="C775" s="48"/>
      <c r="D775" s="75"/>
      <c r="F775" s="77"/>
      <c r="G775" s="80"/>
    </row>
    <row r="776" spans="3:7" x14ac:dyDescent="0.35">
      <c r="C776" s="48"/>
      <c r="D776" s="75"/>
      <c r="F776" s="77"/>
      <c r="G776" s="80"/>
    </row>
    <row r="777" spans="3:7" x14ac:dyDescent="0.35">
      <c r="C777" s="48"/>
      <c r="D777" s="75"/>
      <c r="F777" s="77"/>
      <c r="G777" s="80"/>
    </row>
    <row r="778" spans="3:7" x14ac:dyDescent="0.35">
      <c r="C778" s="48"/>
      <c r="D778" s="75"/>
      <c r="F778" s="77"/>
      <c r="G778" s="80"/>
    </row>
    <row r="779" spans="3:7" x14ac:dyDescent="0.35">
      <c r="C779" s="48"/>
      <c r="D779" s="75"/>
      <c r="F779" s="77"/>
      <c r="G779" s="80"/>
    </row>
    <row r="780" spans="3:7" x14ac:dyDescent="0.35">
      <c r="C780" s="48"/>
      <c r="D780" s="75"/>
      <c r="F780" s="77"/>
      <c r="G780" s="80"/>
    </row>
    <row r="781" spans="3:7" x14ac:dyDescent="0.35">
      <c r="C781" s="48"/>
      <c r="D781" s="75"/>
      <c r="F781" s="77"/>
      <c r="G781" s="80"/>
    </row>
    <row r="782" spans="3:7" x14ac:dyDescent="0.35">
      <c r="C782" s="48"/>
      <c r="D782" s="75"/>
      <c r="F782" s="77"/>
      <c r="G782" s="80"/>
    </row>
    <row r="783" spans="3:7" x14ac:dyDescent="0.35">
      <c r="C783" s="48"/>
      <c r="D783" s="75"/>
      <c r="F783" s="77"/>
      <c r="G783" s="80"/>
    </row>
    <row r="784" spans="3:7" x14ac:dyDescent="0.35">
      <c r="C784" s="48"/>
      <c r="D784" s="75"/>
      <c r="F784" s="77"/>
      <c r="G784" s="80"/>
    </row>
    <row r="785" spans="3:7" x14ac:dyDescent="0.35">
      <c r="C785" s="48"/>
      <c r="D785" s="75"/>
      <c r="F785" s="77"/>
      <c r="G785" s="80"/>
    </row>
    <row r="786" spans="3:7" x14ac:dyDescent="0.35">
      <c r="C786" s="48"/>
      <c r="D786" s="75"/>
      <c r="F786" s="77"/>
      <c r="G786" s="80"/>
    </row>
    <row r="787" spans="3:7" x14ac:dyDescent="0.35">
      <c r="C787" s="48"/>
      <c r="D787" s="75"/>
      <c r="F787" s="77"/>
      <c r="G787" s="80"/>
    </row>
    <row r="788" spans="3:7" x14ac:dyDescent="0.35">
      <c r="C788" s="48"/>
      <c r="D788" s="75"/>
      <c r="F788" s="77"/>
      <c r="G788" s="80"/>
    </row>
    <row r="789" spans="3:7" x14ac:dyDescent="0.35">
      <c r="C789" s="48"/>
      <c r="D789" s="75"/>
      <c r="F789" s="77"/>
      <c r="G789" s="80"/>
    </row>
    <row r="790" spans="3:7" x14ac:dyDescent="0.35">
      <c r="C790" s="48"/>
      <c r="D790" s="75"/>
      <c r="F790" s="77"/>
      <c r="G790" s="80"/>
    </row>
    <row r="791" spans="3:7" x14ac:dyDescent="0.35">
      <c r="C791" s="48"/>
      <c r="D791" s="75"/>
      <c r="F791" s="77"/>
      <c r="G791" s="80"/>
    </row>
    <row r="792" spans="3:7" x14ac:dyDescent="0.35">
      <c r="C792" s="48"/>
      <c r="D792" s="75"/>
      <c r="F792" s="77"/>
      <c r="G792" s="80"/>
    </row>
    <row r="793" spans="3:7" x14ac:dyDescent="0.35">
      <c r="C793" s="48"/>
      <c r="D793" s="75"/>
      <c r="F793" s="77"/>
      <c r="G793" s="80"/>
    </row>
    <row r="794" spans="3:7" x14ac:dyDescent="0.35">
      <c r="C794" s="48"/>
      <c r="D794" s="75"/>
      <c r="F794" s="77"/>
      <c r="G794" s="80"/>
    </row>
    <row r="795" spans="3:7" x14ac:dyDescent="0.35">
      <c r="C795" s="48"/>
      <c r="D795" s="75"/>
      <c r="F795" s="77"/>
      <c r="G795" s="80"/>
    </row>
    <row r="796" spans="3:7" x14ac:dyDescent="0.35">
      <c r="C796" s="48"/>
      <c r="D796" s="75"/>
      <c r="F796" s="77"/>
      <c r="G796" s="80"/>
    </row>
    <row r="797" spans="3:7" x14ac:dyDescent="0.35">
      <c r="C797" s="48"/>
      <c r="D797" s="75"/>
      <c r="F797" s="77"/>
      <c r="G797" s="80"/>
    </row>
    <row r="798" spans="3:7" x14ac:dyDescent="0.35">
      <c r="C798" s="48"/>
      <c r="D798" s="75"/>
      <c r="F798" s="77"/>
      <c r="G798" s="80"/>
    </row>
    <row r="799" spans="3:7" x14ac:dyDescent="0.35">
      <c r="C799" s="48"/>
      <c r="D799" s="75"/>
      <c r="F799" s="77"/>
      <c r="G799" s="80"/>
    </row>
    <row r="800" spans="3:7" x14ac:dyDescent="0.35">
      <c r="C800" s="48"/>
      <c r="D800" s="75"/>
      <c r="F800" s="77"/>
      <c r="G800" s="80"/>
    </row>
    <row r="801" spans="3:7" x14ac:dyDescent="0.35">
      <c r="C801" s="48"/>
      <c r="D801" s="75"/>
      <c r="F801" s="77"/>
      <c r="G801" s="80"/>
    </row>
    <row r="802" spans="3:7" x14ac:dyDescent="0.35">
      <c r="C802" s="48"/>
      <c r="D802" s="75"/>
      <c r="F802" s="77"/>
      <c r="G802" s="80"/>
    </row>
    <row r="803" spans="3:7" x14ac:dyDescent="0.35">
      <c r="C803" s="48"/>
      <c r="D803" s="75"/>
      <c r="F803" s="77"/>
      <c r="G803" s="80"/>
    </row>
    <row r="804" spans="3:7" x14ac:dyDescent="0.35">
      <c r="C804" s="48"/>
      <c r="D804" s="75"/>
      <c r="F804" s="77"/>
      <c r="G804" s="80"/>
    </row>
    <row r="805" spans="3:7" x14ac:dyDescent="0.35">
      <c r="C805" s="48"/>
      <c r="D805" s="75"/>
      <c r="F805" s="77"/>
      <c r="G805" s="80"/>
    </row>
    <row r="806" spans="3:7" x14ac:dyDescent="0.35">
      <c r="C806" s="48"/>
      <c r="D806" s="75"/>
      <c r="F806" s="77"/>
      <c r="G806" s="80"/>
    </row>
    <row r="807" spans="3:7" x14ac:dyDescent="0.35">
      <c r="C807" s="48"/>
      <c r="D807" s="75"/>
      <c r="F807" s="77"/>
      <c r="G807" s="80"/>
    </row>
    <row r="808" spans="3:7" x14ac:dyDescent="0.35">
      <c r="C808" s="48"/>
      <c r="D808" s="75"/>
      <c r="F808" s="77"/>
      <c r="G808" s="80"/>
    </row>
    <row r="809" spans="3:7" x14ac:dyDescent="0.35">
      <c r="C809" s="48"/>
      <c r="D809" s="75"/>
      <c r="F809" s="77"/>
      <c r="G809" s="80"/>
    </row>
    <row r="810" spans="3:7" x14ac:dyDescent="0.35">
      <c r="C810" s="48"/>
      <c r="D810" s="75"/>
      <c r="F810" s="77"/>
      <c r="G810" s="80"/>
    </row>
    <row r="811" spans="3:7" x14ac:dyDescent="0.35">
      <c r="C811" s="48"/>
      <c r="D811" s="75"/>
      <c r="F811" s="77"/>
      <c r="G811" s="80"/>
    </row>
    <row r="812" spans="3:7" x14ac:dyDescent="0.35">
      <c r="C812" s="48"/>
      <c r="D812" s="75"/>
      <c r="F812" s="77"/>
      <c r="G812" s="80"/>
    </row>
    <row r="813" spans="3:7" x14ac:dyDescent="0.35">
      <c r="C813" s="48"/>
      <c r="D813" s="75"/>
      <c r="F813" s="77"/>
      <c r="G813" s="80"/>
    </row>
    <row r="814" spans="3:7" x14ac:dyDescent="0.35">
      <c r="C814" s="48"/>
      <c r="D814" s="75"/>
      <c r="F814" s="77"/>
      <c r="G814" s="80"/>
    </row>
    <row r="815" spans="3:7" x14ac:dyDescent="0.35">
      <c r="C815" s="48"/>
      <c r="D815" s="75"/>
      <c r="F815" s="77"/>
      <c r="G815" s="80"/>
    </row>
    <row r="816" spans="3:7" x14ac:dyDescent="0.35">
      <c r="C816" s="48"/>
      <c r="D816" s="75"/>
      <c r="F816" s="77"/>
      <c r="G816" s="80"/>
    </row>
    <row r="817" spans="3:7" x14ac:dyDescent="0.35">
      <c r="C817" s="48"/>
      <c r="D817" s="75"/>
      <c r="F817" s="77"/>
      <c r="G817" s="80"/>
    </row>
    <row r="818" spans="3:7" x14ac:dyDescent="0.35">
      <c r="C818" s="48"/>
      <c r="D818" s="75"/>
      <c r="F818" s="77"/>
      <c r="G818" s="80"/>
    </row>
    <row r="819" spans="3:7" x14ac:dyDescent="0.35">
      <c r="C819" s="48"/>
      <c r="D819" s="75"/>
      <c r="F819" s="77"/>
      <c r="G819" s="80"/>
    </row>
    <row r="820" spans="3:7" x14ac:dyDescent="0.35">
      <c r="C820" s="48"/>
      <c r="D820" s="75"/>
      <c r="F820" s="77"/>
      <c r="G820" s="80"/>
    </row>
    <row r="821" spans="3:7" x14ac:dyDescent="0.35">
      <c r="D821" s="75"/>
      <c r="F821" s="77"/>
      <c r="G821" s="80"/>
    </row>
    <row r="822" spans="3:7" x14ac:dyDescent="0.35">
      <c r="D822" s="75"/>
      <c r="F822" s="77"/>
      <c r="G822" s="80"/>
    </row>
    <row r="823" spans="3:7" x14ac:dyDescent="0.35">
      <c r="D823" s="75"/>
      <c r="F823" s="77"/>
      <c r="G823" s="80"/>
    </row>
    <row r="824" spans="3:7" x14ac:dyDescent="0.35">
      <c r="D824" s="75"/>
      <c r="F824" s="77"/>
      <c r="G824" s="80"/>
    </row>
    <row r="825" spans="3:7" x14ac:dyDescent="0.35">
      <c r="D825" s="75"/>
      <c r="F825" s="77"/>
      <c r="G825" s="80"/>
    </row>
    <row r="826" spans="3:7" x14ac:dyDescent="0.35">
      <c r="D826" s="75"/>
      <c r="F826" s="77"/>
      <c r="G826" s="80"/>
    </row>
    <row r="827" spans="3:7" x14ac:dyDescent="0.35">
      <c r="D827" s="75"/>
      <c r="F827" s="77"/>
      <c r="G827" s="80"/>
    </row>
    <row r="828" spans="3:7" x14ac:dyDescent="0.35">
      <c r="D828" s="75"/>
      <c r="F828" s="77"/>
      <c r="G828" s="80"/>
    </row>
    <row r="829" spans="3:7" x14ac:dyDescent="0.35">
      <c r="D829" s="75"/>
      <c r="F829" s="77"/>
      <c r="G829" s="80"/>
    </row>
    <row r="830" spans="3:7" x14ac:dyDescent="0.35">
      <c r="D830" s="75"/>
      <c r="F830" s="77"/>
      <c r="G830" s="80"/>
    </row>
    <row r="831" spans="3:7" x14ac:dyDescent="0.35">
      <c r="D831" s="75"/>
      <c r="F831" s="77"/>
      <c r="G831" s="80"/>
    </row>
    <row r="832" spans="3:7" x14ac:dyDescent="0.35">
      <c r="D832" s="75"/>
      <c r="F832" s="77"/>
      <c r="G832" s="80"/>
    </row>
    <row r="833" spans="4:7" x14ac:dyDescent="0.35">
      <c r="D833" s="75"/>
      <c r="F833" s="77"/>
      <c r="G833" s="80"/>
    </row>
    <row r="834" spans="4:7" x14ac:dyDescent="0.35">
      <c r="D834" s="75"/>
      <c r="F834" s="77"/>
      <c r="G834" s="80"/>
    </row>
    <row r="835" spans="4:7" x14ac:dyDescent="0.35">
      <c r="D835" s="75"/>
      <c r="F835" s="77"/>
      <c r="G835" s="80"/>
    </row>
    <row r="836" spans="4:7" x14ac:dyDescent="0.35">
      <c r="D836" s="75"/>
      <c r="F836" s="77"/>
      <c r="G836" s="80"/>
    </row>
    <row r="837" spans="4:7" x14ac:dyDescent="0.35">
      <c r="D837" s="75"/>
      <c r="F837" s="77"/>
      <c r="G837" s="80"/>
    </row>
    <row r="838" spans="4:7" x14ac:dyDescent="0.35">
      <c r="D838" s="75"/>
      <c r="F838" s="77"/>
      <c r="G838" s="80"/>
    </row>
    <row r="839" spans="4:7" x14ac:dyDescent="0.35">
      <c r="D839" s="75"/>
      <c r="F839" s="77"/>
      <c r="G839" s="80"/>
    </row>
    <row r="840" spans="4:7" x14ac:dyDescent="0.35">
      <c r="D840" s="75"/>
      <c r="F840" s="77"/>
      <c r="G840" s="80"/>
    </row>
    <row r="841" spans="4:7" x14ac:dyDescent="0.35">
      <c r="D841" s="75"/>
      <c r="F841" s="77"/>
      <c r="G841" s="80"/>
    </row>
    <row r="842" spans="4:7" x14ac:dyDescent="0.35">
      <c r="D842" s="75"/>
      <c r="F842" s="77"/>
      <c r="G842" s="80"/>
    </row>
    <row r="843" spans="4:7" x14ac:dyDescent="0.35">
      <c r="D843" s="75"/>
      <c r="F843" s="77"/>
      <c r="G843" s="80"/>
    </row>
    <row r="844" spans="4:7" x14ac:dyDescent="0.35">
      <c r="D844" s="75"/>
      <c r="F844" s="77"/>
      <c r="G844" s="80"/>
    </row>
    <row r="845" spans="4:7" x14ac:dyDescent="0.35">
      <c r="D845" s="75"/>
      <c r="F845" s="77"/>
      <c r="G845" s="80"/>
    </row>
    <row r="846" spans="4:7" x14ac:dyDescent="0.35">
      <c r="D846" s="75"/>
      <c r="F846" s="77"/>
      <c r="G846" s="80"/>
    </row>
    <row r="847" spans="4:7" x14ac:dyDescent="0.35">
      <c r="D847" s="75"/>
      <c r="F847" s="77"/>
      <c r="G847" s="80"/>
    </row>
    <row r="848" spans="4:7" x14ac:dyDescent="0.35">
      <c r="D848" s="75"/>
      <c r="F848" s="77"/>
      <c r="G848" s="80"/>
    </row>
    <row r="849" spans="4:7" x14ac:dyDescent="0.35">
      <c r="D849" s="75"/>
      <c r="F849" s="77"/>
      <c r="G849" s="80"/>
    </row>
    <row r="850" spans="4:7" x14ac:dyDescent="0.35">
      <c r="D850" s="75"/>
      <c r="F850" s="77"/>
      <c r="G850" s="80"/>
    </row>
    <row r="851" spans="4:7" x14ac:dyDescent="0.35">
      <c r="D851" s="75"/>
      <c r="F851" s="77"/>
      <c r="G851" s="80"/>
    </row>
    <row r="852" spans="4:7" x14ac:dyDescent="0.35">
      <c r="D852" s="75"/>
      <c r="F852" s="77"/>
      <c r="G852" s="80"/>
    </row>
    <row r="853" spans="4:7" x14ac:dyDescent="0.35">
      <c r="D853" s="75"/>
      <c r="F853" s="77"/>
      <c r="G853" s="80"/>
    </row>
    <row r="854" spans="4:7" x14ac:dyDescent="0.35">
      <c r="D854" s="75"/>
      <c r="F854" s="77"/>
      <c r="G854" s="80"/>
    </row>
    <row r="855" spans="4:7" x14ac:dyDescent="0.35">
      <c r="D855" s="75"/>
      <c r="F855" s="77"/>
      <c r="G855" s="80"/>
    </row>
    <row r="856" spans="4:7" x14ac:dyDescent="0.35">
      <c r="D856" s="75"/>
      <c r="F856" s="77"/>
      <c r="G856" s="80"/>
    </row>
    <row r="857" spans="4:7" x14ac:dyDescent="0.35">
      <c r="D857" s="75"/>
      <c r="F857" s="77"/>
      <c r="G857" s="80"/>
    </row>
    <row r="858" spans="4:7" x14ac:dyDescent="0.35">
      <c r="D858" s="75"/>
      <c r="F858" s="77"/>
      <c r="G858" s="80"/>
    </row>
    <row r="859" spans="4:7" x14ac:dyDescent="0.35">
      <c r="D859" s="75"/>
      <c r="F859" s="77"/>
      <c r="G859" s="80"/>
    </row>
    <row r="860" spans="4:7" x14ac:dyDescent="0.35">
      <c r="D860" s="75"/>
      <c r="F860" s="77"/>
      <c r="G860" s="80"/>
    </row>
    <row r="861" spans="4:7" x14ac:dyDescent="0.35">
      <c r="D861" s="75"/>
      <c r="F861" s="77"/>
      <c r="G861" s="80"/>
    </row>
    <row r="862" spans="4:7" x14ac:dyDescent="0.35">
      <c r="D862" s="75"/>
      <c r="F862" s="77"/>
      <c r="G862" s="80"/>
    </row>
    <row r="863" spans="4:7" x14ac:dyDescent="0.35">
      <c r="D863" s="75"/>
      <c r="F863" s="77"/>
      <c r="G863" s="80"/>
    </row>
    <row r="864" spans="4:7" x14ac:dyDescent="0.35">
      <c r="D864" s="75"/>
      <c r="F864" s="77"/>
      <c r="G864" s="80"/>
    </row>
    <row r="865" spans="4:7" x14ac:dyDescent="0.35">
      <c r="D865" s="75"/>
      <c r="F865" s="77"/>
      <c r="G865" s="80"/>
    </row>
    <row r="866" spans="4:7" x14ac:dyDescent="0.35">
      <c r="F866" s="77"/>
      <c r="G866" s="80"/>
    </row>
    <row r="867" spans="4:7" x14ac:dyDescent="0.35">
      <c r="F867" s="77"/>
      <c r="G867" s="80"/>
    </row>
    <row r="868" spans="4:7" x14ac:dyDescent="0.35">
      <c r="F868" s="77"/>
      <c r="G868" s="80"/>
    </row>
    <row r="869" spans="4:7" x14ac:dyDescent="0.35">
      <c r="F869" s="77"/>
      <c r="G869" s="80"/>
    </row>
    <row r="870" spans="4:7" x14ac:dyDescent="0.35">
      <c r="F870" s="77"/>
      <c r="G870" s="80"/>
    </row>
    <row r="871" spans="4:7" x14ac:dyDescent="0.35">
      <c r="F871" s="77"/>
      <c r="G871" s="80"/>
    </row>
    <row r="872" spans="4:7" x14ac:dyDescent="0.35">
      <c r="F872" s="77"/>
      <c r="G872" s="80"/>
    </row>
    <row r="873" spans="4:7" x14ac:dyDescent="0.35">
      <c r="F873" s="77"/>
      <c r="G873" s="80"/>
    </row>
    <row r="874" spans="4:7" x14ac:dyDescent="0.35">
      <c r="F874" s="77"/>
      <c r="G874" s="80"/>
    </row>
    <row r="875" spans="4:7" x14ac:dyDescent="0.35">
      <c r="F875" s="77"/>
      <c r="G875" s="80"/>
    </row>
    <row r="876" spans="4:7" x14ac:dyDescent="0.35">
      <c r="F876" s="77"/>
      <c r="G876" s="80"/>
    </row>
    <row r="877" spans="4:7" x14ac:dyDescent="0.35">
      <c r="F877" s="77"/>
      <c r="G877" s="80"/>
    </row>
    <row r="878" spans="4:7" x14ac:dyDescent="0.35">
      <c r="F878" s="77"/>
      <c r="G878" s="80"/>
    </row>
    <row r="879" spans="4:7" x14ac:dyDescent="0.35">
      <c r="F879" s="77"/>
      <c r="G879" s="80"/>
    </row>
    <row r="880" spans="4:7" x14ac:dyDescent="0.35">
      <c r="F880" s="77"/>
      <c r="G880" s="80"/>
    </row>
    <row r="881" spans="6:7" x14ac:dyDescent="0.35">
      <c r="F881" s="77"/>
      <c r="G881" s="80"/>
    </row>
    <row r="882" spans="6:7" x14ac:dyDescent="0.35">
      <c r="F882" s="77"/>
      <c r="G882" s="80"/>
    </row>
    <row r="883" spans="6:7" x14ac:dyDescent="0.35">
      <c r="F883" s="77"/>
      <c r="G883" s="80"/>
    </row>
    <row r="884" spans="6:7" x14ac:dyDescent="0.35">
      <c r="F884" s="77"/>
      <c r="G884" s="80"/>
    </row>
    <row r="885" spans="6:7" x14ac:dyDescent="0.35">
      <c r="F885" s="77"/>
      <c r="G885" s="80"/>
    </row>
    <row r="886" spans="6:7" x14ac:dyDescent="0.35">
      <c r="F886" s="77"/>
      <c r="G886" s="80"/>
    </row>
    <row r="887" spans="6:7" x14ac:dyDescent="0.35">
      <c r="F887" s="77"/>
      <c r="G887" s="80"/>
    </row>
    <row r="888" spans="6:7" x14ac:dyDescent="0.35">
      <c r="F888" s="77"/>
      <c r="G888" s="80"/>
    </row>
    <row r="889" spans="6:7" x14ac:dyDescent="0.35">
      <c r="F889" s="77"/>
      <c r="G889" s="80"/>
    </row>
    <row r="890" spans="6:7" x14ac:dyDescent="0.35">
      <c r="F890" s="77"/>
      <c r="G890" s="80"/>
    </row>
    <row r="891" spans="6:7" x14ac:dyDescent="0.35">
      <c r="F891" s="77"/>
      <c r="G891" s="80"/>
    </row>
    <row r="892" spans="6:7" x14ac:dyDescent="0.35">
      <c r="F892" s="77"/>
      <c r="G892" s="80"/>
    </row>
    <row r="893" spans="6:7" x14ac:dyDescent="0.35">
      <c r="F893" s="77"/>
      <c r="G893" s="80"/>
    </row>
    <row r="894" spans="6:7" x14ac:dyDescent="0.35">
      <c r="F894" s="77"/>
      <c r="G894" s="80"/>
    </row>
    <row r="895" spans="6:7" x14ac:dyDescent="0.35">
      <c r="F895" s="77"/>
      <c r="G895" s="80"/>
    </row>
    <row r="896" spans="6:7" x14ac:dyDescent="0.35">
      <c r="F896" s="77"/>
      <c r="G896" s="80"/>
    </row>
    <row r="897" spans="6:7" x14ac:dyDescent="0.35">
      <c r="F897" s="77"/>
      <c r="G897" s="80"/>
    </row>
    <row r="898" spans="6:7" x14ac:dyDescent="0.35">
      <c r="F898" s="77"/>
      <c r="G898" s="80"/>
    </row>
    <row r="899" spans="6:7" x14ac:dyDescent="0.35">
      <c r="F899" s="77"/>
      <c r="G899" s="80"/>
    </row>
    <row r="900" spans="6:7" x14ac:dyDescent="0.35">
      <c r="F900" s="77"/>
      <c r="G900" s="80"/>
    </row>
    <row r="901" spans="6:7" x14ac:dyDescent="0.35">
      <c r="F901" s="77"/>
      <c r="G901" s="80"/>
    </row>
    <row r="902" spans="6:7" x14ac:dyDescent="0.35">
      <c r="F902" s="77"/>
      <c r="G902" s="80"/>
    </row>
    <row r="903" spans="6:7" x14ac:dyDescent="0.35">
      <c r="F903" s="77"/>
      <c r="G903" s="80"/>
    </row>
    <row r="904" spans="6:7" x14ac:dyDescent="0.35">
      <c r="F904" s="77"/>
      <c r="G904" s="80"/>
    </row>
    <row r="905" spans="6:7" x14ac:dyDescent="0.35">
      <c r="F905" s="77"/>
      <c r="G905" s="80"/>
    </row>
    <row r="906" spans="6:7" x14ac:dyDescent="0.35">
      <c r="F906" s="77"/>
      <c r="G906" s="80"/>
    </row>
    <row r="907" spans="6:7" x14ac:dyDescent="0.35">
      <c r="F907" s="77"/>
      <c r="G907" s="80"/>
    </row>
    <row r="908" spans="6:7" x14ac:dyDescent="0.35">
      <c r="F908" s="77"/>
      <c r="G908" s="80"/>
    </row>
    <row r="909" spans="6:7" x14ac:dyDescent="0.35">
      <c r="F909" s="77"/>
      <c r="G909" s="80"/>
    </row>
    <row r="910" spans="6:7" x14ac:dyDescent="0.35">
      <c r="F910" s="77"/>
      <c r="G910" s="80"/>
    </row>
    <row r="911" spans="6:7" x14ac:dyDescent="0.35">
      <c r="F911" s="77"/>
      <c r="G911" s="80"/>
    </row>
    <row r="912" spans="6:7" x14ac:dyDescent="0.35">
      <c r="F912" s="77"/>
      <c r="G912" s="80"/>
    </row>
    <row r="913" spans="6:7" x14ac:dyDescent="0.35">
      <c r="F913" s="77"/>
      <c r="G913" s="80"/>
    </row>
    <row r="914" spans="6:7" x14ac:dyDescent="0.35">
      <c r="F914" s="77"/>
      <c r="G914" s="80"/>
    </row>
    <row r="915" spans="6:7" x14ac:dyDescent="0.35">
      <c r="F915" s="77"/>
      <c r="G915" s="80"/>
    </row>
    <row r="916" spans="6:7" x14ac:dyDescent="0.35">
      <c r="F916" s="77"/>
      <c r="G916" s="80"/>
    </row>
    <row r="917" spans="6:7" x14ac:dyDescent="0.35">
      <c r="F917" s="77"/>
      <c r="G917" s="80"/>
    </row>
    <row r="918" spans="6:7" x14ac:dyDescent="0.35">
      <c r="F918" s="77"/>
      <c r="G918" s="80"/>
    </row>
    <row r="919" spans="6:7" x14ac:dyDescent="0.35">
      <c r="F919" s="77"/>
      <c r="G919" s="80"/>
    </row>
    <row r="920" spans="6:7" x14ac:dyDescent="0.35">
      <c r="F920" s="77"/>
      <c r="G920" s="80"/>
    </row>
    <row r="921" spans="6:7" x14ac:dyDescent="0.35">
      <c r="F921" s="77"/>
      <c r="G921" s="80"/>
    </row>
    <row r="922" spans="6:7" x14ac:dyDescent="0.35">
      <c r="F922" s="77"/>
      <c r="G922" s="80"/>
    </row>
    <row r="923" spans="6:7" x14ac:dyDescent="0.35">
      <c r="F923" s="77"/>
      <c r="G923" s="80"/>
    </row>
    <row r="924" spans="6:7" x14ac:dyDescent="0.35">
      <c r="F924" s="77"/>
      <c r="G924" s="80"/>
    </row>
    <row r="925" spans="6:7" x14ac:dyDescent="0.35">
      <c r="F925" s="77"/>
      <c r="G925" s="80"/>
    </row>
    <row r="926" spans="6:7" x14ac:dyDescent="0.35">
      <c r="F926" s="77"/>
      <c r="G926" s="80"/>
    </row>
    <row r="927" spans="6:7" x14ac:dyDescent="0.35">
      <c r="F927" s="77"/>
      <c r="G927" s="80"/>
    </row>
    <row r="928" spans="6:7" x14ac:dyDescent="0.35">
      <c r="F928" s="77"/>
      <c r="G928" s="80"/>
    </row>
    <row r="929" spans="6:7" x14ac:dyDescent="0.35">
      <c r="F929" s="77"/>
      <c r="G929" s="80"/>
    </row>
    <row r="930" spans="6:7" x14ac:dyDescent="0.35">
      <c r="F930" s="77"/>
      <c r="G930" s="80"/>
    </row>
    <row r="931" spans="6:7" x14ac:dyDescent="0.35">
      <c r="F931" s="77"/>
      <c r="G931" s="80"/>
    </row>
    <row r="932" spans="6:7" x14ac:dyDescent="0.35">
      <c r="F932" s="77"/>
      <c r="G932" s="80"/>
    </row>
    <row r="933" spans="6:7" x14ac:dyDescent="0.35">
      <c r="F933" s="77"/>
      <c r="G933" s="80"/>
    </row>
    <row r="934" spans="6:7" x14ac:dyDescent="0.35">
      <c r="F934" s="77"/>
      <c r="G934" s="80"/>
    </row>
    <row r="935" spans="6:7" x14ac:dyDescent="0.35">
      <c r="F935" s="77"/>
      <c r="G935" s="80"/>
    </row>
    <row r="936" spans="6:7" x14ac:dyDescent="0.35">
      <c r="F936" s="77"/>
      <c r="G936" s="80"/>
    </row>
    <row r="937" spans="6:7" x14ac:dyDescent="0.35">
      <c r="F937" s="77"/>
      <c r="G937" s="80"/>
    </row>
    <row r="938" spans="6:7" x14ac:dyDescent="0.35">
      <c r="F938" s="77"/>
      <c r="G938" s="80"/>
    </row>
    <row r="939" spans="6:7" x14ac:dyDescent="0.35">
      <c r="F939" s="77"/>
      <c r="G939" s="80"/>
    </row>
    <row r="940" spans="6:7" x14ac:dyDescent="0.35">
      <c r="F940" s="77"/>
      <c r="G940" s="80"/>
    </row>
    <row r="941" spans="6:7" x14ac:dyDescent="0.35">
      <c r="F941" s="77"/>
      <c r="G941" s="80"/>
    </row>
    <row r="942" spans="6:7" x14ac:dyDescent="0.35">
      <c r="F942" s="77"/>
      <c r="G942" s="80"/>
    </row>
    <row r="943" spans="6:7" x14ac:dyDescent="0.35">
      <c r="F943" s="77"/>
      <c r="G943" s="80"/>
    </row>
    <row r="944" spans="6:7" x14ac:dyDescent="0.35">
      <c r="F944" s="77"/>
      <c r="G944" s="80"/>
    </row>
    <row r="945" spans="6:7" x14ac:dyDescent="0.35">
      <c r="F945" s="77"/>
      <c r="G945" s="80"/>
    </row>
    <row r="946" spans="6:7" x14ac:dyDescent="0.35">
      <c r="F946" s="77"/>
      <c r="G946" s="80"/>
    </row>
    <row r="947" spans="6:7" x14ac:dyDescent="0.35">
      <c r="F947" s="77"/>
      <c r="G947" s="80"/>
    </row>
    <row r="948" spans="6:7" x14ac:dyDescent="0.35">
      <c r="F948" s="77"/>
      <c r="G948" s="80"/>
    </row>
    <row r="949" spans="6:7" x14ac:dyDescent="0.35">
      <c r="F949" s="77"/>
      <c r="G949" s="80"/>
    </row>
    <row r="950" spans="6:7" x14ac:dyDescent="0.35">
      <c r="F950" s="77"/>
      <c r="G950" s="80"/>
    </row>
    <row r="951" spans="6:7" x14ac:dyDescent="0.35">
      <c r="F951" s="77"/>
      <c r="G951" s="80"/>
    </row>
    <row r="952" spans="6:7" x14ac:dyDescent="0.35">
      <c r="F952" s="77"/>
      <c r="G952" s="80"/>
    </row>
    <row r="953" spans="6:7" x14ac:dyDescent="0.35">
      <c r="F953" s="77"/>
      <c r="G953" s="80"/>
    </row>
    <row r="954" spans="6:7" x14ac:dyDescent="0.35">
      <c r="F954" s="77"/>
      <c r="G954" s="80"/>
    </row>
    <row r="955" spans="6:7" x14ac:dyDescent="0.35">
      <c r="F955" s="77"/>
      <c r="G955" s="80"/>
    </row>
    <row r="956" spans="6:7" x14ac:dyDescent="0.35">
      <c r="F956" s="77"/>
      <c r="G956" s="80"/>
    </row>
    <row r="957" spans="6:7" x14ac:dyDescent="0.35">
      <c r="F957" s="77"/>
      <c r="G957" s="80"/>
    </row>
    <row r="958" spans="6:7" x14ac:dyDescent="0.35">
      <c r="F958" s="77"/>
      <c r="G958" s="80"/>
    </row>
    <row r="959" spans="6:7" x14ac:dyDescent="0.35">
      <c r="F959" s="77"/>
      <c r="G959" s="80"/>
    </row>
    <row r="960" spans="6:7" x14ac:dyDescent="0.35">
      <c r="F960" s="77"/>
      <c r="G960" s="80"/>
    </row>
    <row r="961" spans="6:7" x14ac:dyDescent="0.35">
      <c r="F961" s="77"/>
      <c r="G961" s="80"/>
    </row>
    <row r="962" spans="6:7" x14ac:dyDescent="0.35">
      <c r="F962" s="77"/>
      <c r="G962" s="80"/>
    </row>
    <row r="963" spans="6:7" x14ac:dyDescent="0.35">
      <c r="F963" s="77"/>
      <c r="G963" s="80"/>
    </row>
    <row r="964" spans="6:7" x14ac:dyDescent="0.35">
      <c r="F964" s="77"/>
      <c r="G964" s="80"/>
    </row>
    <row r="965" spans="6:7" x14ac:dyDescent="0.35">
      <c r="F965" s="77"/>
      <c r="G965" s="80"/>
    </row>
    <row r="966" spans="6:7" x14ac:dyDescent="0.35">
      <c r="F966" s="77"/>
      <c r="G966" s="80"/>
    </row>
    <row r="967" spans="6:7" x14ac:dyDescent="0.35">
      <c r="F967" s="77"/>
      <c r="G967" s="80"/>
    </row>
    <row r="968" spans="6:7" x14ac:dyDescent="0.35">
      <c r="F968" s="77"/>
      <c r="G968" s="80"/>
    </row>
    <row r="969" spans="6:7" x14ac:dyDescent="0.35">
      <c r="F969" s="77"/>
      <c r="G969" s="80"/>
    </row>
    <row r="970" spans="6:7" x14ac:dyDescent="0.35">
      <c r="F970" s="77"/>
      <c r="G970" s="80"/>
    </row>
    <row r="971" spans="6:7" x14ac:dyDescent="0.35">
      <c r="F971" s="77"/>
      <c r="G971" s="80"/>
    </row>
    <row r="972" spans="6:7" x14ac:dyDescent="0.35">
      <c r="F972" s="77"/>
      <c r="G972" s="80"/>
    </row>
    <row r="973" spans="6:7" x14ac:dyDescent="0.35">
      <c r="F973" s="77"/>
      <c r="G973" s="80"/>
    </row>
    <row r="974" spans="6:7" x14ac:dyDescent="0.35">
      <c r="F974" s="77"/>
      <c r="G974" s="80"/>
    </row>
    <row r="975" spans="6:7" x14ac:dyDescent="0.35">
      <c r="F975" s="77"/>
      <c r="G975" s="80"/>
    </row>
    <row r="976" spans="6:7" x14ac:dyDescent="0.35">
      <c r="F976" s="77"/>
      <c r="G976" s="80"/>
    </row>
    <row r="977" spans="6:7" x14ac:dyDescent="0.35">
      <c r="F977" s="77"/>
      <c r="G977" s="80"/>
    </row>
    <row r="978" spans="6:7" x14ac:dyDescent="0.35">
      <c r="F978" s="77"/>
      <c r="G978" s="80"/>
    </row>
    <row r="979" spans="6:7" x14ac:dyDescent="0.35">
      <c r="F979" s="77"/>
      <c r="G979" s="80"/>
    </row>
    <row r="980" spans="6:7" x14ac:dyDescent="0.35">
      <c r="F980" s="77"/>
      <c r="G980" s="80"/>
    </row>
    <row r="981" spans="6:7" x14ac:dyDescent="0.35">
      <c r="F981" s="77"/>
      <c r="G981" s="80"/>
    </row>
    <row r="982" spans="6:7" x14ac:dyDescent="0.35">
      <c r="F982" s="77"/>
      <c r="G982" s="80"/>
    </row>
    <row r="983" spans="6:7" x14ac:dyDescent="0.35">
      <c r="F983" s="77"/>
      <c r="G983" s="80"/>
    </row>
    <row r="984" spans="6:7" x14ac:dyDescent="0.35">
      <c r="F984" s="77"/>
      <c r="G984" s="80"/>
    </row>
    <row r="985" spans="6:7" x14ac:dyDescent="0.35">
      <c r="F985" s="77"/>
      <c r="G985" s="80"/>
    </row>
    <row r="986" spans="6:7" x14ac:dyDescent="0.35">
      <c r="F986" s="77"/>
      <c r="G986" s="80"/>
    </row>
    <row r="987" spans="6:7" x14ac:dyDescent="0.35">
      <c r="F987" s="77"/>
      <c r="G987" s="80"/>
    </row>
    <row r="988" spans="6:7" x14ac:dyDescent="0.35">
      <c r="F988" s="77"/>
      <c r="G988" s="80"/>
    </row>
    <row r="989" spans="6:7" x14ac:dyDescent="0.35">
      <c r="F989" s="77"/>
      <c r="G989" s="80"/>
    </row>
    <row r="990" spans="6:7" x14ac:dyDescent="0.35">
      <c r="F990" s="77"/>
      <c r="G990" s="80"/>
    </row>
    <row r="991" spans="6:7" x14ac:dyDescent="0.35">
      <c r="F991" s="77"/>
      <c r="G991" s="80"/>
    </row>
    <row r="992" spans="6:7" x14ac:dyDescent="0.35">
      <c r="F992" s="77"/>
      <c r="G992" s="80"/>
    </row>
    <row r="993" spans="6:7" x14ac:dyDescent="0.35">
      <c r="F993" s="77"/>
      <c r="G993" s="80"/>
    </row>
    <row r="994" spans="6:7" x14ac:dyDescent="0.35">
      <c r="F994" s="77"/>
      <c r="G994" s="80"/>
    </row>
    <row r="995" spans="6:7" x14ac:dyDescent="0.35">
      <c r="F995" s="77"/>
      <c r="G995" s="80"/>
    </row>
    <row r="996" spans="6:7" x14ac:dyDescent="0.35">
      <c r="F996" s="77"/>
      <c r="G996" s="80"/>
    </row>
    <row r="997" spans="6:7" x14ac:dyDescent="0.35">
      <c r="F997" s="77"/>
      <c r="G997" s="80"/>
    </row>
    <row r="998" spans="6:7" x14ac:dyDescent="0.35">
      <c r="F998" s="77"/>
      <c r="G998" s="80"/>
    </row>
    <row r="999" spans="6:7" x14ac:dyDescent="0.35">
      <c r="F999" s="77"/>
      <c r="G999" s="80"/>
    </row>
    <row r="1000" spans="6:7" x14ac:dyDescent="0.35">
      <c r="F1000" s="77"/>
      <c r="G1000" s="80"/>
    </row>
    <row r="1001" spans="6:7" x14ac:dyDescent="0.35">
      <c r="F1001" s="77"/>
      <c r="G1001" s="80"/>
    </row>
    <row r="1002" spans="6:7" x14ac:dyDescent="0.35">
      <c r="F1002" s="77"/>
      <c r="G1002" s="80"/>
    </row>
    <row r="1003" spans="6:7" x14ac:dyDescent="0.35">
      <c r="F1003" s="77"/>
      <c r="G1003" s="80"/>
    </row>
    <row r="1004" spans="6:7" x14ac:dyDescent="0.35">
      <c r="F1004" s="77"/>
      <c r="G1004" s="80"/>
    </row>
    <row r="1005" spans="6:7" x14ac:dyDescent="0.35">
      <c r="F1005" s="77"/>
      <c r="G1005" s="80"/>
    </row>
    <row r="1006" spans="6:7" x14ac:dyDescent="0.35">
      <c r="F1006" s="77"/>
      <c r="G1006" s="80"/>
    </row>
    <row r="1007" spans="6:7" x14ac:dyDescent="0.35">
      <c r="F1007" s="77"/>
      <c r="G1007" s="80"/>
    </row>
    <row r="1008" spans="6:7" x14ac:dyDescent="0.35">
      <c r="F1008" s="77"/>
      <c r="G1008" s="80"/>
    </row>
    <row r="1009" spans="6:7" x14ac:dyDescent="0.35">
      <c r="F1009" s="77"/>
      <c r="G1009" s="80"/>
    </row>
    <row r="1010" spans="6:7" x14ac:dyDescent="0.35">
      <c r="F1010" s="77"/>
      <c r="G1010" s="80"/>
    </row>
    <row r="1011" spans="6:7" x14ac:dyDescent="0.35">
      <c r="F1011" s="77"/>
      <c r="G1011" s="80"/>
    </row>
    <row r="1012" spans="6:7" x14ac:dyDescent="0.35">
      <c r="F1012" s="77"/>
      <c r="G1012" s="80"/>
    </row>
    <row r="1013" spans="6:7" x14ac:dyDescent="0.35">
      <c r="F1013" s="77"/>
      <c r="G1013" s="80"/>
    </row>
    <row r="1014" spans="6:7" x14ac:dyDescent="0.35">
      <c r="F1014" s="77"/>
      <c r="G1014" s="80"/>
    </row>
    <row r="1015" spans="6:7" x14ac:dyDescent="0.35">
      <c r="F1015" s="77"/>
      <c r="G1015" s="80"/>
    </row>
    <row r="1016" spans="6:7" x14ac:dyDescent="0.35">
      <c r="F1016" s="77"/>
      <c r="G1016" s="80"/>
    </row>
    <row r="1017" spans="6:7" x14ac:dyDescent="0.35">
      <c r="F1017" s="77"/>
      <c r="G1017" s="80"/>
    </row>
    <row r="1018" spans="6:7" x14ac:dyDescent="0.35">
      <c r="F1018" s="77"/>
      <c r="G1018" s="80"/>
    </row>
    <row r="1019" spans="6:7" x14ac:dyDescent="0.35">
      <c r="F1019" s="77"/>
      <c r="G1019" s="80"/>
    </row>
    <row r="1020" spans="6:7" x14ac:dyDescent="0.35">
      <c r="F1020" s="77"/>
      <c r="G1020" s="80"/>
    </row>
    <row r="1021" spans="6:7" x14ac:dyDescent="0.35">
      <c r="F1021" s="77"/>
      <c r="G1021" s="80"/>
    </row>
    <row r="1022" spans="6:7" x14ac:dyDescent="0.35">
      <c r="F1022" s="77"/>
      <c r="G1022" s="80"/>
    </row>
    <row r="1023" spans="6:7" x14ac:dyDescent="0.35">
      <c r="F1023" s="77"/>
      <c r="G1023" s="80"/>
    </row>
    <row r="1024" spans="6:7" x14ac:dyDescent="0.35">
      <c r="F1024" s="77"/>
      <c r="G1024" s="80"/>
    </row>
    <row r="1025" spans="6:7" x14ac:dyDescent="0.35">
      <c r="F1025" s="77"/>
      <c r="G1025" s="80"/>
    </row>
    <row r="1026" spans="6:7" x14ac:dyDescent="0.35">
      <c r="F1026" s="77"/>
      <c r="G1026" s="80"/>
    </row>
    <row r="1027" spans="6:7" x14ac:dyDescent="0.35">
      <c r="F1027" s="77"/>
      <c r="G1027" s="80"/>
    </row>
    <row r="1028" spans="6:7" x14ac:dyDescent="0.35">
      <c r="F1028" s="77"/>
      <c r="G1028" s="80"/>
    </row>
    <row r="1029" spans="6:7" x14ac:dyDescent="0.35">
      <c r="F1029" s="77"/>
      <c r="G1029" s="80"/>
    </row>
    <row r="1030" spans="6:7" x14ac:dyDescent="0.35">
      <c r="F1030" s="77"/>
      <c r="G1030" s="80"/>
    </row>
    <row r="1031" spans="6:7" x14ac:dyDescent="0.35">
      <c r="F1031" s="77"/>
      <c r="G1031" s="80"/>
    </row>
    <row r="1032" spans="6:7" x14ac:dyDescent="0.35">
      <c r="F1032" s="77"/>
      <c r="G1032" s="80"/>
    </row>
    <row r="1033" spans="6:7" x14ac:dyDescent="0.35">
      <c r="F1033" s="77"/>
      <c r="G1033" s="80"/>
    </row>
    <row r="1034" spans="6:7" x14ac:dyDescent="0.35">
      <c r="F1034" s="77"/>
      <c r="G1034" s="80"/>
    </row>
    <row r="1035" spans="6:7" x14ac:dyDescent="0.35">
      <c r="F1035" s="77"/>
      <c r="G1035" s="80"/>
    </row>
    <row r="1036" spans="6:7" x14ac:dyDescent="0.35">
      <c r="F1036" s="77"/>
      <c r="G1036" s="80"/>
    </row>
    <row r="1037" spans="6:7" x14ac:dyDescent="0.35">
      <c r="F1037" s="77"/>
      <c r="G1037" s="80"/>
    </row>
    <row r="1038" spans="6:7" x14ac:dyDescent="0.35">
      <c r="F1038" s="77"/>
      <c r="G1038" s="80"/>
    </row>
    <row r="1039" spans="6:7" x14ac:dyDescent="0.35">
      <c r="F1039" s="77"/>
      <c r="G1039" s="80"/>
    </row>
    <row r="1040" spans="6:7" x14ac:dyDescent="0.35">
      <c r="F1040" s="77"/>
      <c r="G1040" s="80"/>
    </row>
    <row r="1041" spans="6:7" x14ac:dyDescent="0.35">
      <c r="F1041" s="77"/>
      <c r="G1041" s="80"/>
    </row>
    <row r="1042" spans="6:7" x14ac:dyDescent="0.35">
      <c r="F1042" s="77"/>
      <c r="G1042" s="80"/>
    </row>
    <row r="1043" spans="6:7" x14ac:dyDescent="0.35">
      <c r="F1043" s="77"/>
      <c r="G1043" s="80"/>
    </row>
    <row r="1044" spans="6:7" x14ac:dyDescent="0.35">
      <c r="F1044" s="77"/>
      <c r="G1044" s="80"/>
    </row>
    <row r="1045" spans="6:7" x14ac:dyDescent="0.35">
      <c r="F1045" s="77"/>
      <c r="G1045" s="80"/>
    </row>
    <row r="1046" spans="6:7" x14ac:dyDescent="0.35">
      <c r="F1046" s="77"/>
      <c r="G1046" s="80"/>
    </row>
    <row r="1047" spans="6:7" x14ac:dyDescent="0.35">
      <c r="F1047" s="77"/>
      <c r="G1047" s="80"/>
    </row>
    <row r="1048" spans="6:7" x14ac:dyDescent="0.35">
      <c r="F1048" s="77"/>
      <c r="G1048" s="80"/>
    </row>
    <row r="1049" spans="6:7" x14ac:dyDescent="0.35">
      <c r="F1049" s="77"/>
      <c r="G1049" s="80"/>
    </row>
    <row r="1050" spans="6:7" x14ac:dyDescent="0.35">
      <c r="F1050" s="77"/>
      <c r="G1050" s="80"/>
    </row>
    <row r="1051" spans="6:7" x14ac:dyDescent="0.35">
      <c r="F1051" s="77"/>
      <c r="G1051" s="80"/>
    </row>
    <row r="1052" spans="6:7" x14ac:dyDescent="0.35">
      <c r="F1052" s="77"/>
      <c r="G1052" s="80"/>
    </row>
    <row r="1053" spans="6:7" x14ac:dyDescent="0.35">
      <c r="F1053" s="77"/>
      <c r="G1053" s="80"/>
    </row>
    <row r="1054" spans="6:7" x14ac:dyDescent="0.35">
      <c r="F1054" s="77"/>
      <c r="G1054" s="80"/>
    </row>
    <row r="1055" spans="6:7" x14ac:dyDescent="0.35">
      <c r="F1055" s="77"/>
      <c r="G1055" s="80"/>
    </row>
    <row r="1056" spans="6:7" x14ac:dyDescent="0.35">
      <c r="F1056" s="77"/>
      <c r="G1056" s="80"/>
    </row>
    <row r="1057" spans="6:7" x14ac:dyDescent="0.35">
      <c r="F1057" s="77"/>
      <c r="G1057" s="80"/>
    </row>
    <row r="1058" spans="6:7" x14ac:dyDescent="0.35">
      <c r="F1058" s="77"/>
      <c r="G1058" s="80"/>
    </row>
    <row r="1059" spans="6:7" x14ac:dyDescent="0.35">
      <c r="F1059" s="77"/>
      <c r="G1059" s="80"/>
    </row>
    <row r="1060" spans="6:7" x14ac:dyDescent="0.35">
      <c r="F1060" s="77"/>
      <c r="G1060" s="80"/>
    </row>
    <row r="1061" spans="6:7" x14ac:dyDescent="0.35">
      <c r="F1061" s="77"/>
      <c r="G1061" s="80"/>
    </row>
    <row r="1062" spans="6:7" x14ac:dyDescent="0.35">
      <c r="F1062" s="77"/>
      <c r="G1062" s="80"/>
    </row>
    <row r="1063" spans="6:7" x14ac:dyDescent="0.35">
      <c r="F1063" s="77"/>
      <c r="G1063" s="80"/>
    </row>
    <row r="1064" spans="6:7" x14ac:dyDescent="0.35">
      <c r="F1064" s="77"/>
      <c r="G1064" s="80"/>
    </row>
    <row r="1065" spans="6:7" x14ac:dyDescent="0.35">
      <c r="F1065" s="77"/>
      <c r="G1065" s="80"/>
    </row>
    <row r="1066" spans="6:7" x14ac:dyDescent="0.35">
      <c r="F1066" s="77"/>
      <c r="G1066" s="80"/>
    </row>
    <row r="1067" spans="6:7" x14ac:dyDescent="0.35">
      <c r="F1067" s="77"/>
      <c r="G1067" s="80"/>
    </row>
    <row r="1068" spans="6:7" x14ac:dyDescent="0.35">
      <c r="F1068" s="77"/>
      <c r="G1068" s="80"/>
    </row>
    <row r="1069" spans="6:7" x14ac:dyDescent="0.35">
      <c r="F1069" s="77"/>
      <c r="G1069" s="80"/>
    </row>
    <row r="1070" spans="6:7" x14ac:dyDescent="0.35">
      <c r="F1070" s="77"/>
      <c r="G1070" s="80"/>
    </row>
    <row r="1071" spans="6:7" x14ac:dyDescent="0.35">
      <c r="F1071" s="77"/>
      <c r="G1071" s="80"/>
    </row>
    <row r="1072" spans="6:7" x14ac:dyDescent="0.35">
      <c r="F1072" s="77"/>
      <c r="G1072" s="80"/>
    </row>
    <row r="1073" spans="6:7" x14ac:dyDescent="0.35">
      <c r="F1073" s="77"/>
      <c r="G1073" s="80"/>
    </row>
    <row r="1074" spans="6:7" x14ac:dyDescent="0.35">
      <c r="F1074" s="77"/>
      <c r="G1074" s="80"/>
    </row>
    <row r="1075" spans="6:7" x14ac:dyDescent="0.35">
      <c r="F1075" s="77"/>
      <c r="G1075" s="80"/>
    </row>
    <row r="1076" spans="6:7" x14ac:dyDescent="0.35">
      <c r="F1076" s="77"/>
      <c r="G1076" s="80"/>
    </row>
    <row r="1077" spans="6:7" x14ac:dyDescent="0.35">
      <c r="F1077" s="77"/>
      <c r="G1077" s="80"/>
    </row>
    <row r="1078" spans="6:7" x14ac:dyDescent="0.35">
      <c r="F1078" s="77"/>
      <c r="G1078" s="80"/>
    </row>
    <row r="1079" spans="6:7" x14ac:dyDescent="0.35">
      <c r="F1079" s="77"/>
      <c r="G1079" s="80"/>
    </row>
    <row r="1080" spans="6:7" x14ac:dyDescent="0.35">
      <c r="F1080" s="77"/>
      <c r="G1080" s="80"/>
    </row>
    <row r="1081" spans="6:7" x14ac:dyDescent="0.35">
      <c r="F1081" s="77"/>
      <c r="G1081" s="80"/>
    </row>
    <row r="1082" spans="6:7" x14ac:dyDescent="0.35">
      <c r="F1082" s="77"/>
      <c r="G1082" s="80"/>
    </row>
    <row r="1083" spans="6:7" x14ac:dyDescent="0.35">
      <c r="F1083" s="77"/>
      <c r="G1083" s="80"/>
    </row>
    <row r="1084" spans="6:7" x14ac:dyDescent="0.35">
      <c r="F1084" s="77"/>
      <c r="G1084" s="80"/>
    </row>
    <row r="1085" spans="6:7" x14ac:dyDescent="0.35">
      <c r="F1085" s="77"/>
      <c r="G1085" s="80"/>
    </row>
    <row r="1086" spans="6:7" x14ac:dyDescent="0.35">
      <c r="F1086" s="77"/>
      <c r="G1086" s="80"/>
    </row>
    <row r="1087" spans="6:7" x14ac:dyDescent="0.35">
      <c r="F1087" s="77"/>
      <c r="G1087" s="80"/>
    </row>
    <row r="1088" spans="6:7" x14ac:dyDescent="0.35">
      <c r="F1088" s="77"/>
      <c r="G1088" s="80"/>
    </row>
    <row r="1089" spans="6:7" x14ac:dyDescent="0.35">
      <c r="F1089" s="77"/>
      <c r="G1089" s="80"/>
    </row>
    <row r="1090" spans="6:7" x14ac:dyDescent="0.35">
      <c r="F1090" s="77"/>
      <c r="G1090" s="80"/>
    </row>
    <row r="1091" spans="6:7" x14ac:dyDescent="0.35">
      <c r="F1091" s="77"/>
      <c r="G1091" s="80"/>
    </row>
    <row r="1092" spans="6:7" x14ac:dyDescent="0.35">
      <c r="F1092" s="77"/>
      <c r="G1092" s="80"/>
    </row>
    <row r="1093" spans="6:7" x14ac:dyDescent="0.35">
      <c r="F1093" s="77"/>
      <c r="G1093" s="80"/>
    </row>
    <row r="1094" spans="6:7" x14ac:dyDescent="0.35">
      <c r="F1094" s="77"/>
      <c r="G1094" s="80"/>
    </row>
    <row r="1095" spans="6:7" x14ac:dyDescent="0.35">
      <c r="F1095" s="77"/>
      <c r="G1095" s="80"/>
    </row>
    <row r="1096" spans="6:7" x14ac:dyDescent="0.35">
      <c r="F1096" s="77"/>
      <c r="G1096" s="80"/>
    </row>
    <row r="1097" spans="6:7" x14ac:dyDescent="0.35">
      <c r="F1097" s="77"/>
      <c r="G1097" s="80"/>
    </row>
    <row r="1098" spans="6:7" x14ac:dyDescent="0.35">
      <c r="F1098" s="77"/>
      <c r="G1098" s="80"/>
    </row>
    <row r="1099" spans="6:7" x14ac:dyDescent="0.35">
      <c r="F1099" s="77"/>
      <c r="G1099" s="80"/>
    </row>
    <row r="1100" spans="6:7" x14ac:dyDescent="0.35">
      <c r="F1100" s="77"/>
      <c r="G1100" s="80"/>
    </row>
    <row r="1101" spans="6:7" x14ac:dyDescent="0.35">
      <c r="F1101" s="77"/>
      <c r="G1101" s="80"/>
    </row>
    <row r="1102" spans="6:7" x14ac:dyDescent="0.35">
      <c r="F1102" s="77"/>
      <c r="G1102" s="80"/>
    </row>
    <row r="1103" spans="6:7" x14ac:dyDescent="0.35">
      <c r="F1103" s="77"/>
      <c r="G1103" s="80"/>
    </row>
    <row r="1104" spans="6:7" x14ac:dyDescent="0.35">
      <c r="F1104" s="77"/>
      <c r="G1104" s="80"/>
    </row>
    <row r="1105" spans="6:7" x14ac:dyDescent="0.35">
      <c r="F1105" s="77"/>
      <c r="G1105" s="80"/>
    </row>
    <row r="1106" spans="6:7" x14ac:dyDescent="0.35">
      <c r="F1106" s="77"/>
      <c r="G1106" s="80"/>
    </row>
    <row r="1107" spans="6:7" x14ac:dyDescent="0.35">
      <c r="F1107" s="77"/>
      <c r="G1107" s="80"/>
    </row>
    <row r="1108" spans="6:7" x14ac:dyDescent="0.35">
      <c r="F1108" s="77"/>
    </row>
    <row r="1109" spans="6:7" x14ac:dyDescent="0.35">
      <c r="F1109" s="77"/>
    </row>
    <row r="1110" spans="6:7" x14ac:dyDescent="0.35">
      <c r="F1110" s="77"/>
    </row>
    <row r="1111" spans="6:7" x14ac:dyDescent="0.35">
      <c r="F1111" s="77"/>
    </row>
    <row r="1112" spans="6:7" x14ac:dyDescent="0.35">
      <c r="F1112" s="77"/>
    </row>
    <row r="1113" spans="6:7" x14ac:dyDescent="0.35">
      <c r="F1113" s="77"/>
    </row>
    <row r="1114" spans="6:7" x14ac:dyDescent="0.35">
      <c r="F1114" s="77"/>
    </row>
    <row r="1115" spans="6:7" x14ac:dyDescent="0.35">
      <c r="F1115" s="77"/>
    </row>
    <row r="1116" spans="6:7" x14ac:dyDescent="0.35">
      <c r="F1116" s="77"/>
    </row>
    <row r="1117" spans="6:7" x14ac:dyDescent="0.35">
      <c r="F1117" s="77"/>
    </row>
    <row r="1118" spans="6:7" x14ac:dyDescent="0.35">
      <c r="F1118" s="77"/>
    </row>
    <row r="1119" spans="6:7" x14ac:dyDescent="0.35">
      <c r="F1119" s="77"/>
    </row>
    <row r="1120" spans="6:7" x14ac:dyDescent="0.35">
      <c r="F1120" s="77"/>
    </row>
    <row r="1121" spans="6:6" x14ac:dyDescent="0.35">
      <c r="F1121" s="77"/>
    </row>
    <row r="1122" spans="6:6" x14ac:dyDescent="0.35">
      <c r="F1122" s="77"/>
    </row>
    <row r="1123" spans="6:6" x14ac:dyDescent="0.35">
      <c r="F1123" s="77"/>
    </row>
    <row r="1124" spans="6:6" x14ac:dyDescent="0.35">
      <c r="F1124" s="77"/>
    </row>
    <row r="1125" spans="6:6" x14ac:dyDescent="0.35">
      <c r="F1125" s="77"/>
    </row>
    <row r="1126" spans="6:6" x14ac:dyDescent="0.35">
      <c r="F1126" s="77"/>
    </row>
    <row r="1127" spans="6:6" x14ac:dyDescent="0.35">
      <c r="F1127" s="77"/>
    </row>
    <row r="1128" spans="6:6" x14ac:dyDescent="0.35">
      <c r="F1128" s="77"/>
    </row>
    <row r="1129" spans="6:6" x14ac:dyDescent="0.35">
      <c r="F1129" s="77"/>
    </row>
    <row r="1130" spans="6:6" x14ac:dyDescent="0.35">
      <c r="F1130" s="77"/>
    </row>
    <row r="1131" spans="6:6" x14ac:dyDescent="0.35">
      <c r="F1131" s="77"/>
    </row>
    <row r="1132" spans="6:6" x14ac:dyDescent="0.35">
      <c r="F1132" s="77"/>
    </row>
    <row r="1133" spans="6:6" x14ac:dyDescent="0.35">
      <c r="F1133" s="77"/>
    </row>
    <row r="1134" spans="6:6" x14ac:dyDescent="0.35">
      <c r="F1134" s="77"/>
    </row>
    <row r="1135" spans="6:6" x14ac:dyDescent="0.35">
      <c r="F1135" s="77"/>
    </row>
    <row r="1136" spans="6:6" x14ac:dyDescent="0.35">
      <c r="F1136" s="77"/>
    </row>
    <row r="1137" spans="6:6" x14ac:dyDescent="0.35">
      <c r="F1137" s="77"/>
    </row>
    <row r="1138" spans="6:6" x14ac:dyDescent="0.35">
      <c r="F1138" s="77"/>
    </row>
    <row r="1139" spans="6:6" x14ac:dyDescent="0.35">
      <c r="F1139" s="77"/>
    </row>
    <row r="1140" spans="6:6" x14ac:dyDescent="0.35">
      <c r="F1140" s="77"/>
    </row>
    <row r="1141" spans="6:6" x14ac:dyDescent="0.35">
      <c r="F1141" s="77"/>
    </row>
    <row r="1142" spans="6:6" x14ac:dyDescent="0.35">
      <c r="F1142" s="77"/>
    </row>
    <row r="1143" spans="6:6" x14ac:dyDescent="0.35">
      <c r="F1143" s="77"/>
    </row>
    <row r="1144" spans="6:6" x14ac:dyDescent="0.35">
      <c r="F1144" s="77"/>
    </row>
    <row r="1145" spans="6:6" x14ac:dyDescent="0.35">
      <c r="F1145" s="77"/>
    </row>
    <row r="1146" spans="6:6" x14ac:dyDescent="0.35">
      <c r="F1146" s="77"/>
    </row>
    <row r="1147" spans="6:6" x14ac:dyDescent="0.35">
      <c r="F1147" s="77"/>
    </row>
    <row r="1148" spans="6:6" x14ac:dyDescent="0.35">
      <c r="F1148" s="77"/>
    </row>
    <row r="1149" spans="6:6" x14ac:dyDescent="0.35">
      <c r="F1149" s="77"/>
    </row>
    <row r="1150" spans="6:6" x14ac:dyDescent="0.35">
      <c r="F1150" s="77"/>
    </row>
    <row r="1151" spans="6:6" x14ac:dyDescent="0.35">
      <c r="F1151" s="77"/>
    </row>
    <row r="1152" spans="6:6" x14ac:dyDescent="0.35">
      <c r="F1152" s="77"/>
    </row>
    <row r="1153" spans="6:6" x14ac:dyDescent="0.35">
      <c r="F1153" s="77"/>
    </row>
    <row r="1154" spans="6:6" x14ac:dyDescent="0.35">
      <c r="F1154" s="77"/>
    </row>
    <row r="1155" spans="6:6" x14ac:dyDescent="0.35">
      <c r="F1155" s="77"/>
    </row>
    <row r="1156" spans="6:6" x14ac:dyDescent="0.35">
      <c r="F1156" s="77"/>
    </row>
    <row r="1157" spans="6:6" x14ac:dyDescent="0.35">
      <c r="F1157" s="77"/>
    </row>
    <row r="1158" spans="6:6" x14ac:dyDescent="0.35">
      <c r="F1158" s="77"/>
    </row>
    <row r="1159" spans="6:6" x14ac:dyDescent="0.35">
      <c r="F1159" s="77"/>
    </row>
    <row r="1160" spans="6:6" x14ac:dyDescent="0.35">
      <c r="F1160" s="77"/>
    </row>
    <row r="1161" spans="6:6" x14ac:dyDescent="0.35">
      <c r="F1161" s="77"/>
    </row>
    <row r="1162" spans="6:6" x14ac:dyDescent="0.35">
      <c r="F1162" s="77"/>
    </row>
    <row r="1163" spans="6:6" x14ac:dyDescent="0.35">
      <c r="F1163" s="77"/>
    </row>
    <row r="1164" spans="6:6" x14ac:dyDescent="0.35">
      <c r="F1164" s="77"/>
    </row>
    <row r="1165" spans="6:6" x14ac:dyDescent="0.35">
      <c r="F1165" s="77"/>
    </row>
    <row r="1166" spans="6:6" x14ac:dyDescent="0.35">
      <c r="F1166" s="77"/>
    </row>
    <row r="1167" spans="6:6" x14ac:dyDescent="0.35">
      <c r="F1167" s="77"/>
    </row>
    <row r="1168" spans="6:6" x14ac:dyDescent="0.35">
      <c r="F1168" s="77"/>
    </row>
    <row r="1169" spans="6:6" x14ac:dyDescent="0.35">
      <c r="F1169" s="77"/>
    </row>
    <row r="1170" spans="6:6" x14ac:dyDescent="0.35">
      <c r="F1170" s="77"/>
    </row>
    <row r="1171" spans="6:6" x14ac:dyDescent="0.35">
      <c r="F1171" s="77"/>
    </row>
    <row r="1172" spans="6:6" x14ac:dyDescent="0.35">
      <c r="F1172" s="77"/>
    </row>
    <row r="1173" spans="6:6" x14ac:dyDescent="0.35">
      <c r="F1173" s="77"/>
    </row>
    <row r="1174" spans="6:6" x14ac:dyDescent="0.35">
      <c r="F1174" s="77"/>
    </row>
    <row r="1175" spans="6:6" x14ac:dyDescent="0.35">
      <c r="F1175" s="77"/>
    </row>
    <row r="1176" spans="6:6" x14ac:dyDescent="0.35">
      <c r="F1176" s="77"/>
    </row>
    <row r="1177" spans="6:6" x14ac:dyDescent="0.35">
      <c r="F1177" s="77"/>
    </row>
    <row r="1178" spans="6:6" x14ac:dyDescent="0.35">
      <c r="F1178" s="77"/>
    </row>
    <row r="1179" spans="6:6" x14ac:dyDescent="0.35">
      <c r="F1179" s="77"/>
    </row>
    <row r="1180" spans="6:6" x14ac:dyDescent="0.35">
      <c r="F1180" s="77"/>
    </row>
    <row r="1181" spans="6:6" x14ac:dyDescent="0.35">
      <c r="F1181" s="77"/>
    </row>
    <row r="1182" spans="6:6" x14ac:dyDescent="0.35">
      <c r="F1182" s="77"/>
    </row>
    <row r="1183" spans="6:6" x14ac:dyDescent="0.35">
      <c r="F1183" s="77"/>
    </row>
    <row r="1184" spans="6:6" x14ac:dyDescent="0.35">
      <c r="F1184" s="77"/>
    </row>
    <row r="1185" spans="6:6" x14ac:dyDescent="0.35">
      <c r="F1185" s="77"/>
    </row>
    <row r="1186" spans="6:6" x14ac:dyDescent="0.35">
      <c r="F1186" s="77"/>
    </row>
    <row r="1187" spans="6:6" x14ac:dyDescent="0.35">
      <c r="F1187" s="77"/>
    </row>
    <row r="1188" spans="6:6" x14ac:dyDescent="0.35">
      <c r="F1188" s="77"/>
    </row>
    <row r="1189" spans="6:6" x14ac:dyDescent="0.35">
      <c r="F1189" s="77"/>
    </row>
    <row r="1190" spans="6:6" x14ac:dyDescent="0.35">
      <c r="F1190" s="77"/>
    </row>
    <row r="1191" spans="6:6" x14ac:dyDescent="0.35">
      <c r="F1191" s="77"/>
    </row>
    <row r="1192" spans="6:6" x14ac:dyDescent="0.35">
      <c r="F1192" s="77"/>
    </row>
    <row r="1193" spans="6:6" x14ac:dyDescent="0.35">
      <c r="F1193" s="77"/>
    </row>
    <row r="1194" spans="6:6" x14ac:dyDescent="0.35">
      <c r="F1194" s="77"/>
    </row>
    <row r="1195" spans="6:6" x14ac:dyDescent="0.35">
      <c r="F1195" s="77"/>
    </row>
    <row r="1196" spans="6:6" x14ac:dyDescent="0.35">
      <c r="F1196" s="77"/>
    </row>
    <row r="1197" spans="6:6" x14ac:dyDescent="0.35">
      <c r="F1197" s="77"/>
    </row>
    <row r="1198" spans="6:6" x14ac:dyDescent="0.35">
      <c r="F1198" s="77"/>
    </row>
    <row r="1199" spans="6:6" x14ac:dyDescent="0.35">
      <c r="F1199" s="77"/>
    </row>
    <row r="1200" spans="6:6" x14ac:dyDescent="0.35">
      <c r="F1200" s="77"/>
    </row>
    <row r="1201" spans="6:6" x14ac:dyDescent="0.35">
      <c r="F1201" s="77"/>
    </row>
    <row r="1202" spans="6:6" x14ac:dyDescent="0.35">
      <c r="F1202" s="77"/>
    </row>
    <row r="1203" spans="6:6" x14ac:dyDescent="0.35">
      <c r="F1203" s="77"/>
    </row>
    <row r="1204" spans="6:6" x14ac:dyDescent="0.35">
      <c r="F1204" s="77"/>
    </row>
    <row r="1205" spans="6:6" x14ac:dyDescent="0.35">
      <c r="F1205" s="77"/>
    </row>
    <row r="1206" spans="6:6" x14ac:dyDescent="0.35">
      <c r="F1206" s="77"/>
    </row>
    <row r="1207" spans="6:6" x14ac:dyDescent="0.35">
      <c r="F1207" s="77"/>
    </row>
    <row r="1208" spans="6:6" x14ac:dyDescent="0.35">
      <c r="F1208" s="77"/>
    </row>
    <row r="1209" spans="6:6" x14ac:dyDescent="0.35">
      <c r="F1209" s="77"/>
    </row>
    <row r="1210" spans="6:6" x14ac:dyDescent="0.35">
      <c r="F1210" s="77"/>
    </row>
    <row r="1211" spans="6:6" x14ac:dyDescent="0.35">
      <c r="F1211" s="77"/>
    </row>
    <row r="1212" spans="6:6" x14ac:dyDescent="0.35">
      <c r="F1212" s="77"/>
    </row>
    <row r="1213" spans="6:6" x14ac:dyDescent="0.35">
      <c r="F1213" s="77"/>
    </row>
    <row r="1214" spans="6:6" x14ac:dyDescent="0.35">
      <c r="F1214" s="77"/>
    </row>
    <row r="1215" spans="6:6" x14ac:dyDescent="0.35">
      <c r="F1215" s="77"/>
    </row>
    <row r="1216" spans="6:6" x14ac:dyDescent="0.35">
      <c r="F1216" s="77"/>
    </row>
    <row r="1217" spans="6:6" x14ac:dyDescent="0.35">
      <c r="F1217" s="77"/>
    </row>
    <row r="1218" spans="6:6" x14ac:dyDescent="0.35">
      <c r="F1218" s="77"/>
    </row>
    <row r="1219" spans="6:6" x14ac:dyDescent="0.35">
      <c r="F1219" s="77"/>
    </row>
    <row r="1220" spans="6:6" x14ac:dyDescent="0.35">
      <c r="F1220" s="77"/>
    </row>
    <row r="1221" spans="6:6" x14ac:dyDescent="0.35">
      <c r="F1221" s="77"/>
    </row>
    <row r="1222" spans="6:6" x14ac:dyDescent="0.35">
      <c r="F1222" s="77"/>
    </row>
    <row r="1223" spans="6:6" x14ac:dyDescent="0.35">
      <c r="F1223" s="77"/>
    </row>
    <row r="1224" spans="6:6" x14ac:dyDescent="0.35">
      <c r="F1224" s="77"/>
    </row>
    <row r="1225" spans="6:6" x14ac:dyDescent="0.35">
      <c r="F1225" s="77"/>
    </row>
    <row r="1226" spans="6:6" x14ac:dyDescent="0.35">
      <c r="F1226" s="77"/>
    </row>
    <row r="1227" spans="6:6" x14ac:dyDescent="0.35">
      <c r="F1227" s="77"/>
    </row>
    <row r="1228" spans="6:6" x14ac:dyDescent="0.35">
      <c r="F1228" s="77"/>
    </row>
    <row r="1229" spans="6:6" x14ac:dyDescent="0.35">
      <c r="F1229" s="77"/>
    </row>
    <row r="1230" spans="6:6" x14ac:dyDescent="0.35">
      <c r="F1230" s="77"/>
    </row>
    <row r="1231" spans="6:6" x14ac:dyDescent="0.35">
      <c r="F1231" s="77"/>
    </row>
    <row r="1232" spans="6:6" x14ac:dyDescent="0.35">
      <c r="F1232" s="77"/>
    </row>
    <row r="1233" spans="6:6" x14ac:dyDescent="0.35">
      <c r="F1233" s="77"/>
    </row>
    <row r="1234" spans="6:6" x14ac:dyDescent="0.35">
      <c r="F1234" s="77"/>
    </row>
    <row r="1235" spans="6:6" x14ac:dyDescent="0.35">
      <c r="F1235" s="77"/>
    </row>
    <row r="1236" spans="6:6" x14ac:dyDescent="0.35">
      <c r="F1236" s="77"/>
    </row>
    <row r="1237" spans="6:6" x14ac:dyDescent="0.35">
      <c r="F1237" s="77"/>
    </row>
    <row r="1238" spans="6:6" x14ac:dyDescent="0.35">
      <c r="F1238" s="77"/>
    </row>
    <row r="1239" spans="6:6" x14ac:dyDescent="0.35">
      <c r="F1239" s="77"/>
    </row>
    <row r="1240" spans="6:6" x14ac:dyDescent="0.35">
      <c r="F1240" s="77"/>
    </row>
    <row r="1241" spans="6:6" x14ac:dyDescent="0.35">
      <c r="F1241" s="77"/>
    </row>
    <row r="1242" spans="6:6" x14ac:dyDescent="0.35">
      <c r="F1242" s="77"/>
    </row>
    <row r="1243" spans="6:6" x14ac:dyDescent="0.35">
      <c r="F1243" s="77"/>
    </row>
    <row r="1244" spans="6:6" x14ac:dyDescent="0.35">
      <c r="F1244" s="77"/>
    </row>
    <row r="1245" spans="6:6" x14ac:dyDescent="0.35">
      <c r="F1245" s="77"/>
    </row>
    <row r="1246" spans="6:6" x14ac:dyDescent="0.35">
      <c r="F1246" s="77"/>
    </row>
    <row r="1247" spans="6:6" x14ac:dyDescent="0.35">
      <c r="F1247" s="77"/>
    </row>
    <row r="1248" spans="6:6" x14ac:dyDescent="0.35">
      <c r="F1248" s="77"/>
    </row>
    <row r="1249" spans="6:6" x14ac:dyDescent="0.35">
      <c r="F1249" s="77"/>
    </row>
    <row r="1250" spans="6:6" x14ac:dyDescent="0.35">
      <c r="F1250" s="77"/>
    </row>
    <row r="1251" spans="6:6" x14ac:dyDescent="0.35">
      <c r="F1251" s="77"/>
    </row>
    <row r="1252" spans="6:6" x14ac:dyDescent="0.35">
      <c r="F1252" s="77"/>
    </row>
    <row r="1253" spans="6:6" x14ac:dyDescent="0.35">
      <c r="F1253" s="77"/>
    </row>
    <row r="1254" spans="6:6" x14ac:dyDescent="0.35">
      <c r="F1254" s="77"/>
    </row>
    <row r="1255" spans="6:6" x14ac:dyDescent="0.35">
      <c r="F1255" s="77"/>
    </row>
    <row r="1256" spans="6:6" x14ac:dyDescent="0.35">
      <c r="F1256" s="77"/>
    </row>
    <row r="1257" spans="6:6" x14ac:dyDescent="0.35">
      <c r="F1257" s="77"/>
    </row>
    <row r="1258" spans="6:6" x14ac:dyDescent="0.35">
      <c r="F1258" s="77"/>
    </row>
    <row r="1259" spans="6:6" x14ac:dyDescent="0.35">
      <c r="F1259" s="77"/>
    </row>
    <row r="1260" spans="6:6" x14ac:dyDescent="0.35">
      <c r="F1260" s="77"/>
    </row>
    <row r="1261" spans="6:6" x14ac:dyDescent="0.35">
      <c r="F1261" s="77"/>
    </row>
    <row r="1262" spans="6:6" x14ac:dyDescent="0.35">
      <c r="F1262" s="77"/>
    </row>
    <row r="1263" spans="6:6" x14ac:dyDescent="0.35">
      <c r="F1263" s="77"/>
    </row>
    <row r="1264" spans="6:6" x14ac:dyDescent="0.35">
      <c r="F1264" s="77"/>
    </row>
    <row r="1265" spans="6:6" x14ac:dyDescent="0.35">
      <c r="F1265" s="77"/>
    </row>
    <row r="1266" spans="6:6" x14ac:dyDescent="0.35">
      <c r="F1266" s="77"/>
    </row>
    <row r="1267" spans="6:6" x14ac:dyDescent="0.35">
      <c r="F1267" s="77"/>
    </row>
    <row r="1268" spans="6:6" x14ac:dyDescent="0.35">
      <c r="F1268" s="77"/>
    </row>
    <row r="1269" spans="6:6" x14ac:dyDescent="0.35">
      <c r="F1269" s="77"/>
    </row>
    <row r="1270" spans="6:6" x14ac:dyDescent="0.35">
      <c r="F1270" s="77"/>
    </row>
    <row r="1271" spans="6:6" x14ac:dyDescent="0.35">
      <c r="F1271" s="77"/>
    </row>
    <row r="1272" spans="6:6" x14ac:dyDescent="0.35">
      <c r="F1272" s="77"/>
    </row>
    <row r="1273" spans="6:6" x14ac:dyDescent="0.35">
      <c r="F1273" s="77"/>
    </row>
    <row r="1274" spans="6:6" x14ac:dyDescent="0.35">
      <c r="F1274" s="77"/>
    </row>
    <row r="1275" spans="6:6" x14ac:dyDescent="0.35">
      <c r="F1275" s="77"/>
    </row>
    <row r="1276" spans="6:6" x14ac:dyDescent="0.35">
      <c r="F1276" s="77"/>
    </row>
    <row r="1277" spans="6:6" x14ac:dyDescent="0.35">
      <c r="F1277" s="77"/>
    </row>
    <row r="1278" spans="6:6" x14ac:dyDescent="0.35">
      <c r="F1278" s="77"/>
    </row>
    <row r="1279" spans="6:6" x14ac:dyDescent="0.35">
      <c r="F1279" s="77"/>
    </row>
    <row r="1280" spans="6:6" x14ac:dyDescent="0.35">
      <c r="F1280" s="77"/>
    </row>
    <row r="1281" spans="6:6" x14ac:dyDescent="0.35">
      <c r="F1281" s="77"/>
    </row>
    <row r="1282" spans="6:6" x14ac:dyDescent="0.35">
      <c r="F1282" s="77"/>
    </row>
    <row r="1283" spans="6:6" x14ac:dyDescent="0.35">
      <c r="F1283" s="77"/>
    </row>
    <row r="1284" spans="6:6" x14ac:dyDescent="0.35">
      <c r="F1284" s="77"/>
    </row>
    <row r="1285" spans="6:6" x14ac:dyDescent="0.35">
      <c r="F1285" s="77"/>
    </row>
    <row r="1286" spans="6:6" x14ac:dyDescent="0.35">
      <c r="F1286" s="77"/>
    </row>
    <row r="1287" spans="6:6" x14ac:dyDescent="0.35">
      <c r="F1287" s="77"/>
    </row>
    <row r="1288" spans="6:6" x14ac:dyDescent="0.35">
      <c r="F1288" s="77"/>
    </row>
    <row r="1289" spans="6:6" x14ac:dyDescent="0.35">
      <c r="F1289" s="77"/>
    </row>
    <row r="1290" spans="6:6" x14ac:dyDescent="0.35">
      <c r="F1290" s="77"/>
    </row>
    <row r="1291" spans="6:6" x14ac:dyDescent="0.35">
      <c r="F1291" s="77"/>
    </row>
    <row r="1292" spans="6:6" x14ac:dyDescent="0.35">
      <c r="F1292" s="77"/>
    </row>
    <row r="1293" spans="6:6" x14ac:dyDescent="0.35">
      <c r="F1293" s="77"/>
    </row>
    <row r="1294" spans="6:6" x14ac:dyDescent="0.35">
      <c r="F1294" s="77"/>
    </row>
    <row r="1295" spans="6:6" x14ac:dyDescent="0.35">
      <c r="F1295" s="77"/>
    </row>
    <row r="1296" spans="6:6" x14ac:dyDescent="0.35">
      <c r="F1296" s="77"/>
    </row>
    <row r="1297" spans="6:6" x14ac:dyDescent="0.35">
      <c r="F1297" s="77"/>
    </row>
    <row r="1298" spans="6:6" x14ac:dyDescent="0.35">
      <c r="F1298" s="77"/>
    </row>
    <row r="1299" spans="6:6" x14ac:dyDescent="0.35">
      <c r="F1299" s="77"/>
    </row>
    <row r="1300" spans="6:6" x14ac:dyDescent="0.35">
      <c r="F1300" s="77"/>
    </row>
    <row r="1301" spans="6:6" x14ac:dyDescent="0.35">
      <c r="F1301" s="77"/>
    </row>
    <row r="1302" spans="6:6" x14ac:dyDescent="0.35">
      <c r="F1302" s="77"/>
    </row>
    <row r="1303" spans="6:6" x14ac:dyDescent="0.35">
      <c r="F1303" s="77"/>
    </row>
    <row r="1304" spans="6:6" x14ac:dyDescent="0.35">
      <c r="F1304" s="77"/>
    </row>
    <row r="1305" spans="6:6" x14ac:dyDescent="0.35">
      <c r="F1305" s="77"/>
    </row>
    <row r="1306" spans="6:6" x14ac:dyDescent="0.35">
      <c r="F1306" s="77"/>
    </row>
    <row r="1307" spans="6:6" x14ac:dyDescent="0.35">
      <c r="F1307" s="77"/>
    </row>
    <row r="1308" spans="6:6" x14ac:dyDescent="0.35">
      <c r="F1308" s="77"/>
    </row>
    <row r="1309" spans="6:6" x14ac:dyDescent="0.35">
      <c r="F1309" s="77"/>
    </row>
    <row r="1310" spans="6:6" x14ac:dyDescent="0.35">
      <c r="F1310" s="77"/>
    </row>
    <row r="1311" spans="6:6" x14ac:dyDescent="0.35">
      <c r="F1311" s="77"/>
    </row>
    <row r="1312" spans="6:6" x14ac:dyDescent="0.35">
      <c r="F1312" s="77"/>
    </row>
    <row r="1313" spans="6:6" x14ac:dyDescent="0.35">
      <c r="F1313" s="77"/>
    </row>
    <row r="1314" spans="6:6" x14ac:dyDescent="0.35">
      <c r="F1314" s="77"/>
    </row>
    <row r="1315" spans="6:6" x14ac:dyDescent="0.35">
      <c r="F1315" s="77"/>
    </row>
    <row r="1316" spans="6:6" x14ac:dyDescent="0.35">
      <c r="F1316" s="77"/>
    </row>
    <row r="1317" spans="6:6" x14ac:dyDescent="0.35">
      <c r="F1317" s="77"/>
    </row>
    <row r="1318" spans="6:6" x14ac:dyDescent="0.35">
      <c r="F1318" s="77"/>
    </row>
    <row r="1319" spans="6:6" x14ac:dyDescent="0.35">
      <c r="F1319" s="77"/>
    </row>
    <row r="1320" spans="6:6" x14ac:dyDescent="0.35">
      <c r="F1320" s="77"/>
    </row>
    <row r="1321" spans="6:6" x14ac:dyDescent="0.35">
      <c r="F1321" s="77"/>
    </row>
    <row r="1322" spans="6:6" x14ac:dyDescent="0.35">
      <c r="F1322" s="77"/>
    </row>
    <row r="1323" spans="6:6" x14ac:dyDescent="0.35">
      <c r="F1323" s="77"/>
    </row>
    <row r="1324" spans="6:6" x14ac:dyDescent="0.35">
      <c r="F1324" s="77"/>
    </row>
    <row r="1325" spans="6:6" x14ac:dyDescent="0.35">
      <c r="F1325" s="77"/>
    </row>
    <row r="1326" spans="6:6" x14ac:dyDescent="0.35">
      <c r="F1326" s="77"/>
    </row>
    <row r="1327" spans="6:6" x14ac:dyDescent="0.35">
      <c r="F1327" s="77"/>
    </row>
    <row r="1328" spans="6:6" x14ac:dyDescent="0.35">
      <c r="F1328" s="77"/>
    </row>
    <row r="1329" spans="6:6" x14ac:dyDescent="0.35">
      <c r="F1329" s="77"/>
    </row>
    <row r="1330" spans="6:6" x14ac:dyDescent="0.35">
      <c r="F1330" s="77"/>
    </row>
    <row r="1331" spans="6:6" x14ac:dyDescent="0.35">
      <c r="F1331" s="77"/>
    </row>
    <row r="1332" spans="6:6" x14ac:dyDescent="0.35">
      <c r="F1332" s="77"/>
    </row>
    <row r="1333" spans="6:6" x14ac:dyDescent="0.35">
      <c r="F1333" s="77"/>
    </row>
    <row r="1334" spans="6:6" x14ac:dyDescent="0.35">
      <c r="F1334" s="77"/>
    </row>
    <row r="1335" spans="6:6" x14ac:dyDescent="0.35">
      <c r="F1335" s="77"/>
    </row>
    <row r="1336" spans="6:6" x14ac:dyDescent="0.35">
      <c r="F1336" s="77"/>
    </row>
    <row r="1337" spans="6:6" x14ac:dyDescent="0.35">
      <c r="F1337" s="77"/>
    </row>
    <row r="1338" spans="6:6" x14ac:dyDescent="0.35">
      <c r="F1338" s="77"/>
    </row>
    <row r="1339" spans="6:6" x14ac:dyDescent="0.35">
      <c r="F1339" s="77"/>
    </row>
    <row r="1340" spans="6:6" x14ac:dyDescent="0.35">
      <c r="F1340" s="77"/>
    </row>
    <row r="1341" spans="6:6" x14ac:dyDescent="0.35">
      <c r="F1341" s="77"/>
    </row>
    <row r="1342" spans="6:6" x14ac:dyDescent="0.35">
      <c r="F1342" s="77"/>
    </row>
    <row r="1343" spans="6:6" x14ac:dyDescent="0.35">
      <c r="F1343" s="77"/>
    </row>
    <row r="1344" spans="6:6" x14ac:dyDescent="0.35">
      <c r="F1344" s="77"/>
    </row>
    <row r="1345" spans="6:6" x14ac:dyDescent="0.35">
      <c r="F1345" s="77"/>
    </row>
    <row r="1346" spans="6:6" x14ac:dyDescent="0.35">
      <c r="F1346" s="77"/>
    </row>
    <row r="1347" spans="6:6" x14ac:dyDescent="0.35">
      <c r="F1347" s="77"/>
    </row>
    <row r="1348" spans="6:6" x14ac:dyDescent="0.35">
      <c r="F1348" s="77"/>
    </row>
    <row r="1349" spans="6:6" x14ac:dyDescent="0.35">
      <c r="F1349" s="77"/>
    </row>
    <row r="1350" spans="6:6" x14ac:dyDescent="0.35">
      <c r="F1350" s="77"/>
    </row>
    <row r="1351" spans="6:6" x14ac:dyDescent="0.35">
      <c r="F1351" s="77"/>
    </row>
    <row r="1352" spans="6:6" x14ac:dyDescent="0.35">
      <c r="F1352" s="77"/>
    </row>
    <row r="1353" spans="6:6" x14ac:dyDescent="0.35">
      <c r="F1353" s="77"/>
    </row>
    <row r="1354" spans="6:6" x14ac:dyDescent="0.35">
      <c r="F1354" s="77"/>
    </row>
    <row r="1355" spans="6:6" x14ac:dyDescent="0.35">
      <c r="F1355" s="77"/>
    </row>
    <row r="1356" spans="6:6" x14ac:dyDescent="0.35">
      <c r="F1356" s="77"/>
    </row>
    <row r="1357" spans="6:6" x14ac:dyDescent="0.35">
      <c r="F1357" s="77"/>
    </row>
    <row r="1358" spans="6:6" x14ac:dyDescent="0.35">
      <c r="F1358" s="77"/>
    </row>
    <row r="1359" spans="6:6" x14ac:dyDescent="0.35">
      <c r="F1359" s="77"/>
    </row>
    <row r="1360" spans="6:6" x14ac:dyDescent="0.35">
      <c r="F1360" s="77"/>
    </row>
    <row r="1361" spans="6:6" x14ac:dyDescent="0.35">
      <c r="F1361" s="77"/>
    </row>
    <row r="1362" spans="6:6" x14ac:dyDescent="0.35">
      <c r="F1362" s="77"/>
    </row>
    <row r="1363" spans="6:6" x14ac:dyDescent="0.35">
      <c r="F1363" s="77"/>
    </row>
    <row r="1364" spans="6:6" x14ac:dyDescent="0.35">
      <c r="F1364" s="77"/>
    </row>
    <row r="1365" spans="6:6" x14ac:dyDescent="0.35">
      <c r="F1365" s="77"/>
    </row>
    <row r="1366" spans="6:6" x14ac:dyDescent="0.35">
      <c r="F1366" s="77"/>
    </row>
    <row r="1367" spans="6:6" x14ac:dyDescent="0.35">
      <c r="F1367" s="77"/>
    </row>
    <row r="1368" spans="6:6" x14ac:dyDescent="0.35">
      <c r="F1368" s="77"/>
    </row>
    <row r="1369" spans="6:6" x14ac:dyDescent="0.35">
      <c r="F1369" s="77"/>
    </row>
    <row r="1370" spans="6:6" x14ac:dyDescent="0.35">
      <c r="F1370" s="77"/>
    </row>
    <row r="1371" spans="6:6" x14ac:dyDescent="0.35">
      <c r="F1371" s="77"/>
    </row>
    <row r="1372" spans="6:6" x14ac:dyDescent="0.35">
      <c r="F1372" s="77"/>
    </row>
    <row r="1373" spans="6:6" x14ac:dyDescent="0.35">
      <c r="F1373" s="77"/>
    </row>
    <row r="1374" spans="6:6" x14ac:dyDescent="0.35">
      <c r="F1374" s="77"/>
    </row>
    <row r="1375" spans="6:6" x14ac:dyDescent="0.35">
      <c r="F1375" s="77"/>
    </row>
    <row r="1376" spans="6:6" x14ac:dyDescent="0.35">
      <c r="F1376" s="77"/>
    </row>
    <row r="1377" spans="6:6" x14ac:dyDescent="0.35">
      <c r="F1377" s="77"/>
    </row>
    <row r="1378" spans="6:6" x14ac:dyDescent="0.35">
      <c r="F1378" s="77"/>
    </row>
    <row r="1379" spans="6:6" x14ac:dyDescent="0.35">
      <c r="F1379" s="77"/>
    </row>
    <row r="1380" spans="6:6" x14ac:dyDescent="0.35">
      <c r="F1380" s="77"/>
    </row>
    <row r="1381" spans="6:6" x14ac:dyDescent="0.35">
      <c r="F1381" s="77"/>
    </row>
    <row r="1382" spans="6:6" x14ac:dyDescent="0.35">
      <c r="F1382" s="77"/>
    </row>
    <row r="1383" spans="6:6" x14ac:dyDescent="0.35">
      <c r="F1383" s="77"/>
    </row>
    <row r="1384" spans="6:6" x14ac:dyDescent="0.35">
      <c r="F1384" s="77"/>
    </row>
    <row r="1385" spans="6:6" x14ac:dyDescent="0.35">
      <c r="F1385" s="77"/>
    </row>
    <row r="1386" spans="6:6" x14ac:dyDescent="0.35">
      <c r="F1386" s="77"/>
    </row>
    <row r="1387" spans="6:6" x14ac:dyDescent="0.35">
      <c r="F1387" s="77"/>
    </row>
    <row r="1388" spans="6:6" x14ac:dyDescent="0.35">
      <c r="F1388" s="77"/>
    </row>
    <row r="1389" spans="6:6" x14ac:dyDescent="0.35">
      <c r="F1389" s="77"/>
    </row>
    <row r="1390" spans="6:6" x14ac:dyDescent="0.35">
      <c r="F1390" s="77"/>
    </row>
    <row r="1391" spans="6:6" x14ac:dyDescent="0.35">
      <c r="F1391" s="77"/>
    </row>
    <row r="1392" spans="6:6" x14ac:dyDescent="0.35">
      <c r="F1392" s="77"/>
    </row>
    <row r="1393" spans="6:6" x14ac:dyDescent="0.35">
      <c r="F1393" s="77"/>
    </row>
    <row r="1394" spans="6:6" x14ac:dyDescent="0.35">
      <c r="F1394" s="77"/>
    </row>
    <row r="1395" spans="6:6" x14ac:dyDescent="0.35">
      <c r="F1395" s="77"/>
    </row>
    <row r="1396" spans="6:6" x14ac:dyDescent="0.35">
      <c r="F1396" s="77"/>
    </row>
    <row r="1397" spans="6:6" x14ac:dyDescent="0.35">
      <c r="F1397" s="77"/>
    </row>
    <row r="1398" spans="6:6" x14ac:dyDescent="0.35">
      <c r="F1398" s="77"/>
    </row>
    <row r="1399" spans="6:6" x14ac:dyDescent="0.35">
      <c r="F1399" s="77"/>
    </row>
    <row r="1400" spans="6:6" x14ac:dyDescent="0.35">
      <c r="F1400" s="77"/>
    </row>
    <row r="1401" spans="6:6" x14ac:dyDescent="0.35">
      <c r="F1401" s="77"/>
    </row>
    <row r="1402" spans="6:6" x14ac:dyDescent="0.35">
      <c r="F1402" s="77"/>
    </row>
    <row r="1403" spans="6:6" x14ac:dyDescent="0.35">
      <c r="F1403" s="77"/>
    </row>
    <row r="1404" spans="6:6" x14ac:dyDescent="0.35">
      <c r="F1404" s="77"/>
    </row>
    <row r="1405" spans="6:6" x14ac:dyDescent="0.35">
      <c r="F1405" s="77"/>
    </row>
    <row r="1406" spans="6:6" x14ac:dyDescent="0.35">
      <c r="F1406" s="77"/>
    </row>
    <row r="1407" spans="6:6" x14ac:dyDescent="0.35">
      <c r="F1407" s="77"/>
    </row>
    <row r="1408" spans="6:6" x14ac:dyDescent="0.35">
      <c r="F1408" s="77"/>
    </row>
    <row r="1409" spans="6:6" x14ac:dyDescent="0.35">
      <c r="F1409" s="77"/>
    </row>
    <row r="1410" spans="6:6" x14ac:dyDescent="0.35">
      <c r="F1410" s="77"/>
    </row>
    <row r="1411" spans="6:6" x14ac:dyDescent="0.35">
      <c r="F1411" s="77"/>
    </row>
    <row r="1412" spans="6:6" x14ac:dyDescent="0.35">
      <c r="F1412" s="77"/>
    </row>
    <row r="1413" spans="6:6" x14ac:dyDescent="0.35">
      <c r="F1413" s="77"/>
    </row>
    <row r="1414" spans="6:6" x14ac:dyDescent="0.35">
      <c r="F1414" s="77"/>
    </row>
    <row r="1415" spans="6:6" x14ac:dyDescent="0.35">
      <c r="F1415" s="77"/>
    </row>
    <row r="1416" spans="6:6" x14ac:dyDescent="0.35">
      <c r="F1416" s="77"/>
    </row>
    <row r="1417" spans="6:6" x14ac:dyDescent="0.35">
      <c r="F1417" s="77"/>
    </row>
    <row r="1418" spans="6:6" x14ac:dyDescent="0.35">
      <c r="F1418" s="77"/>
    </row>
    <row r="1419" spans="6:6" x14ac:dyDescent="0.35">
      <c r="F1419" s="77"/>
    </row>
    <row r="1420" spans="6:6" x14ac:dyDescent="0.35">
      <c r="F1420" s="77"/>
    </row>
    <row r="1421" spans="6:6" x14ac:dyDescent="0.35">
      <c r="F1421" s="77"/>
    </row>
    <row r="1422" spans="6:6" x14ac:dyDescent="0.35">
      <c r="F1422" s="77"/>
    </row>
    <row r="1423" spans="6:6" x14ac:dyDescent="0.35">
      <c r="F1423" s="77"/>
    </row>
    <row r="1424" spans="6:6" x14ac:dyDescent="0.35">
      <c r="F1424" s="77"/>
    </row>
    <row r="1425" spans="6:6" x14ac:dyDescent="0.35">
      <c r="F1425" s="77"/>
    </row>
    <row r="1426" spans="6:6" x14ac:dyDescent="0.35">
      <c r="F1426" s="77"/>
    </row>
    <row r="1427" spans="6:6" x14ac:dyDescent="0.35">
      <c r="F1427" s="77"/>
    </row>
    <row r="1428" spans="6:6" x14ac:dyDescent="0.35">
      <c r="F1428" s="77"/>
    </row>
    <row r="1429" spans="6:6" x14ac:dyDescent="0.35">
      <c r="F1429" s="77"/>
    </row>
    <row r="1430" spans="6:6" x14ac:dyDescent="0.35">
      <c r="F1430" s="77"/>
    </row>
    <row r="1431" spans="6:6" x14ac:dyDescent="0.35">
      <c r="F1431" s="77"/>
    </row>
    <row r="1432" spans="6:6" x14ac:dyDescent="0.35">
      <c r="F1432" s="77"/>
    </row>
    <row r="1433" spans="6:6" x14ac:dyDescent="0.35">
      <c r="F1433" s="77"/>
    </row>
    <row r="1434" spans="6:6" x14ac:dyDescent="0.35">
      <c r="F1434" s="77"/>
    </row>
    <row r="1435" spans="6:6" x14ac:dyDescent="0.35">
      <c r="F1435" s="77"/>
    </row>
    <row r="1436" spans="6:6" x14ac:dyDescent="0.35">
      <c r="F1436" s="77"/>
    </row>
    <row r="1437" spans="6:6" x14ac:dyDescent="0.35">
      <c r="F1437" s="77"/>
    </row>
  </sheetData>
  <mergeCells count="39">
    <mergeCell ref="L1:M1"/>
    <mergeCell ref="B1:C1"/>
    <mergeCell ref="D1:E1"/>
    <mergeCell ref="F1:G1"/>
    <mergeCell ref="H1:I1"/>
    <mergeCell ref="J1:K1"/>
    <mergeCell ref="K272:L272"/>
    <mergeCell ref="L253:M253"/>
    <mergeCell ref="B254:C254"/>
    <mergeCell ref="D254:E254"/>
    <mergeCell ref="F254:G254"/>
    <mergeCell ref="H254:I254"/>
    <mergeCell ref="J254:K254"/>
    <mergeCell ref="L254:M254"/>
    <mergeCell ref="B253:C253"/>
    <mergeCell ref="D253:E253"/>
    <mergeCell ref="F253:G253"/>
    <mergeCell ref="H253:I253"/>
    <mergeCell ref="J253:K253"/>
    <mergeCell ref="B255:C255"/>
    <mergeCell ref="D255:E255"/>
    <mergeCell ref="J255:K255"/>
    <mergeCell ref="L255:M255"/>
    <mergeCell ref="A266:B266"/>
    <mergeCell ref="C266:D266"/>
    <mergeCell ref="E266:F266"/>
    <mergeCell ref="G266:H266"/>
    <mergeCell ref="I266:J266"/>
    <mergeCell ref="F255:G255"/>
    <mergeCell ref="H255:I255"/>
    <mergeCell ref="M338:O338"/>
    <mergeCell ref="T338:V338"/>
    <mergeCell ref="AA338:AC338"/>
    <mergeCell ref="L326:Q326"/>
    <mergeCell ref="S326:X326"/>
    <mergeCell ref="Z326:AE326"/>
    <mergeCell ref="M331:O331"/>
    <mergeCell ref="T331:V331"/>
    <mergeCell ref="AA331:AC331"/>
  </mergeCells>
  <phoneticPr fontId="30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D5A6-36E2-4EDE-955A-CC9E5702EBBC}">
  <dimension ref="A1:G252"/>
  <sheetViews>
    <sheetView tabSelected="1" topLeftCell="A246" workbookViewId="0">
      <selection sqref="A1:G252"/>
    </sheetView>
  </sheetViews>
  <sheetFormatPr defaultRowHeight="14.5" x14ac:dyDescent="0.35"/>
  <cols>
    <col min="1" max="1" width="10.08984375" bestFit="1" customWidth="1"/>
    <col min="2" max="5" width="11.81640625" bestFit="1" customWidth="1"/>
    <col min="6" max="6" width="11.26953125" bestFit="1" customWidth="1"/>
    <col min="7" max="7" width="11" bestFit="1" customWidth="1"/>
  </cols>
  <sheetData>
    <row r="1" spans="1:7" x14ac:dyDescent="0.35"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13</v>
      </c>
    </row>
    <row r="2" spans="1:7" x14ac:dyDescent="0.35">
      <c r="A2" s="8" t="s">
        <v>6</v>
      </c>
      <c r="B2" s="179" t="s">
        <v>7</v>
      </c>
      <c r="C2" s="179" t="s">
        <v>7</v>
      </c>
      <c r="D2" s="179" t="s">
        <v>7</v>
      </c>
      <c r="E2" s="179" t="s">
        <v>7</v>
      </c>
      <c r="F2" s="179" t="s">
        <v>7</v>
      </c>
      <c r="G2" s="179" t="s">
        <v>7</v>
      </c>
    </row>
    <row r="3" spans="1:7" x14ac:dyDescent="0.35">
      <c r="A3" s="9">
        <v>45614</v>
      </c>
      <c r="B3" s="28">
        <v>6.4823824352999999</v>
      </c>
      <c r="C3" s="3">
        <v>9.734857796</v>
      </c>
      <c r="D3" s="3">
        <v>24.030666796999999</v>
      </c>
      <c r="E3" s="3">
        <v>24.517997839</v>
      </c>
      <c r="F3" s="3">
        <v>127768.19</v>
      </c>
      <c r="G3" s="3">
        <v>11.15</v>
      </c>
    </row>
    <row r="4" spans="1:7" x14ac:dyDescent="0.35">
      <c r="A4" s="9">
        <v>45615</v>
      </c>
      <c r="B4" s="3">
        <v>6.5005149735999996</v>
      </c>
      <c r="C4" s="3">
        <v>9.8242595513000008</v>
      </c>
      <c r="D4" s="3">
        <v>24.161522236</v>
      </c>
      <c r="E4" s="3">
        <v>24.783595648999999</v>
      </c>
      <c r="F4" s="3">
        <v>128197.25</v>
      </c>
      <c r="G4" s="3">
        <v>11.15</v>
      </c>
    </row>
    <row r="5" spans="1:7" x14ac:dyDescent="0.35">
      <c r="A5" s="9">
        <v>45617</v>
      </c>
      <c r="B5" s="3">
        <v>6.591177665</v>
      </c>
      <c r="C5" s="3">
        <v>9.6653230974</v>
      </c>
      <c r="D5" s="3">
        <v>23.610060026999999</v>
      </c>
      <c r="E5" s="3">
        <v>24.401798797000001</v>
      </c>
      <c r="F5" s="3">
        <v>126922.11</v>
      </c>
      <c r="G5" s="3">
        <v>11.15</v>
      </c>
    </row>
    <row r="6" spans="1:7" x14ac:dyDescent="0.35">
      <c r="A6" s="9">
        <v>45618</v>
      </c>
      <c r="B6" s="3">
        <v>6.6002439340999999</v>
      </c>
      <c r="C6" s="3">
        <v>9.8739271931000001</v>
      </c>
      <c r="D6" s="3">
        <v>23.927851809</v>
      </c>
      <c r="E6" s="3">
        <v>24.484798112</v>
      </c>
      <c r="F6" s="3">
        <v>129125.51</v>
      </c>
      <c r="G6" s="3">
        <v>11.15</v>
      </c>
    </row>
    <row r="7" spans="1:7" x14ac:dyDescent="0.35">
      <c r="A7" s="9">
        <v>45621</v>
      </c>
      <c r="B7" s="3">
        <v>6.5367800501</v>
      </c>
      <c r="C7" s="3">
        <v>10.311002440999999</v>
      </c>
      <c r="D7" s="3">
        <v>24.068054064999998</v>
      </c>
      <c r="E7" s="3">
        <v>24.542897632999999</v>
      </c>
      <c r="F7" s="3">
        <v>129036.1</v>
      </c>
      <c r="G7" s="3">
        <v>11.15</v>
      </c>
    </row>
    <row r="8" spans="1:7" x14ac:dyDescent="0.35">
      <c r="A8" s="9">
        <v>45622</v>
      </c>
      <c r="B8" s="3">
        <v>6.5639788575000004</v>
      </c>
      <c r="C8" s="3">
        <v>10.499739480000001</v>
      </c>
      <c r="D8" s="3">
        <v>24.452225694999999</v>
      </c>
      <c r="E8" s="3">
        <v>24.891494759</v>
      </c>
      <c r="F8" s="3">
        <v>129922.38</v>
      </c>
      <c r="G8" s="3">
        <v>11.15</v>
      </c>
    </row>
    <row r="9" spans="1:7" x14ac:dyDescent="0.35">
      <c r="A9" s="9">
        <v>45623</v>
      </c>
      <c r="B9" s="3">
        <v>6.4160582071999999</v>
      </c>
      <c r="C9" s="3">
        <v>10.072597760000001</v>
      </c>
      <c r="D9" s="3">
        <v>24.023573510999999</v>
      </c>
      <c r="E9" s="3">
        <v>24.26069996</v>
      </c>
      <c r="F9" s="3">
        <v>127668.61</v>
      </c>
      <c r="G9" s="3">
        <v>11.15</v>
      </c>
    </row>
    <row r="10" spans="1:7" x14ac:dyDescent="0.35">
      <c r="A10" s="9">
        <v>45624</v>
      </c>
      <c r="B10" s="3">
        <v>5.9445611343999998</v>
      </c>
      <c r="C10" s="3">
        <v>9.734857796</v>
      </c>
      <c r="D10" s="3">
        <v>23.318678809000001</v>
      </c>
      <c r="E10" s="3">
        <v>23.62160523</v>
      </c>
      <c r="F10" s="3">
        <v>124610.41</v>
      </c>
      <c r="G10" s="3">
        <v>11.15</v>
      </c>
    </row>
    <row r="11" spans="1:7" x14ac:dyDescent="0.35">
      <c r="A11" s="9">
        <v>45625</v>
      </c>
      <c r="B11" s="3">
        <v>5.8983359311000001</v>
      </c>
      <c r="C11" s="3">
        <v>9.7944589662000006</v>
      </c>
      <c r="D11" s="3">
        <v>23.594921327000002</v>
      </c>
      <c r="E11" s="3">
        <v>23.671404818999999</v>
      </c>
      <c r="F11" s="3">
        <v>125667.83</v>
      </c>
      <c r="G11" s="3">
        <v>11.15</v>
      </c>
    </row>
    <row r="12" spans="1:7" x14ac:dyDescent="0.35">
      <c r="A12" s="9">
        <v>45628</v>
      </c>
      <c r="B12" s="3">
        <v>5.8798458497999997</v>
      </c>
      <c r="C12" s="3">
        <v>9.4666525301999993</v>
      </c>
      <c r="D12" s="3">
        <v>23.404409245</v>
      </c>
      <c r="E12" s="3">
        <v>23.378775633</v>
      </c>
      <c r="F12" s="3">
        <v>125235.54</v>
      </c>
      <c r="G12" s="3">
        <v>11.15</v>
      </c>
    </row>
    <row r="13" spans="1:7" x14ac:dyDescent="0.35">
      <c r="A13" s="9">
        <v>45629</v>
      </c>
      <c r="B13" s="3">
        <v>5.8798458497999997</v>
      </c>
      <c r="C13" s="3">
        <v>9.5560542855000001</v>
      </c>
      <c r="D13" s="3">
        <v>23.690177368000001</v>
      </c>
      <c r="E13" s="3">
        <v>23.511656772999999</v>
      </c>
      <c r="F13" s="3">
        <v>126139.2</v>
      </c>
      <c r="G13" s="3">
        <v>11.15</v>
      </c>
    </row>
    <row r="14" spans="1:7" x14ac:dyDescent="0.35">
      <c r="A14" s="9">
        <v>45630</v>
      </c>
      <c r="B14" s="3">
        <v>6.1202169065999996</v>
      </c>
      <c r="C14" s="3">
        <v>9.4368519451000008</v>
      </c>
      <c r="D14" s="3">
        <v>23.975945491000001</v>
      </c>
      <c r="E14" s="3">
        <v>23.752503839999999</v>
      </c>
      <c r="F14" s="3">
        <v>126087.02</v>
      </c>
      <c r="G14" s="3">
        <v>11.15</v>
      </c>
    </row>
    <row r="15" spans="1:7" x14ac:dyDescent="0.35">
      <c r="A15" s="9">
        <v>45631</v>
      </c>
      <c r="B15" s="3">
        <v>6.1849321910999997</v>
      </c>
      <c r="C15" s="3">
        <v>9.5262537003999999</v>
      </c>
      <c r="D15" s="3">
        <v>24.271239217000002</v>
      </c>
      <c r="E15" s="3">
        <v>24.200977688999998</v>
      </c>
      <c r="F15" s="3">
        <v>127857.58</v>
      </c>
      <c r="G15" s="3">
        <v>11.15</v>
      </c>
    </row>
    <row r="16" spans="1:7" x14ac:dyDescent="0.35">
      <c r="A16" s="9">
        <v>45632</v>
      </c>
      <c r="B16" s="3">
        <v>5.8058855246999999</v>
      </c>
      <c r="C16" s="3">
        <v>9.3971178315999992</v>
      </c>
      <c r="D16" s="3">
        <v>23.556818911000001</v>
      </c>
      <c r="E16" s="3">
        <v>24.009961050000001</v>
      </c>
      <c r="F16" s="3">
        <v>125945.67</v>
      </c>
      <c r="G16" s="3">
        <v>11.15</v>
      </c>
    </row>
    <row r="17" spans="1:7" x14ac:dyDescent="0.35">
      <c r="A17" s="9">
        <v>45635</v>
      </c>
      <c r="B17" s="3">
        <v>5.9260710531000003</v>
      </c>
      <c r="C17" s="3">
        <v>9.3573837181999995</v>
      </c>
      <c r="D17" s="3">
        <v>23.499665285999999</v>
      </c>
      <c r="E17" s="3">
        <v>23.860469767000001</v>
      </c>
      <c r="F17" s="3">
        <v>127210.19</v>
      </c>
      <c r="G17" s="3">
        <v>11.15</v>
      </c>
    </row>
    <row r="18" spans="1:7" x14ac:dyDescent="0.35">
      <c r="A18" s="9">
        <v>45636</v>
      </c>
      <c r="B18" s="3">
        <v>6.0092764188999999</v>
      </c>
      <c r="C18" s="3">
        <v>9.5262537003999999</v>
      </c>
      <c r="D18" s="3">
        <v>23.652074952</v>
      </c>
      <c r="E18" s="3">
        <v>24.154793872999999</v>
      </c>
      <c r="F18" s="3">
        <v>128228.49</v>
      </c>
      <c r="G18" s="3">
        <v>11.15</v>
      </c>
    </row>
    <row r="19" spans="1:7" x14ac:dyDescent="0.35">
      <c r="A19" s="9">
        <v>45637</v>
      </c>
      <c r="B19" s="3">
        <v>6.1479520284999998</v>
      </c>
      <c r="C19" s="3">
        <v>9.5063866436000009</v>
      </c>
      <c r="D19" s="3">
        <v>24.156931967999999</v>
      </c>
      <c r="E19" s="3">
        <v>24.557793562000001</v>
      </c>
      <c r="F19" s="3">
        <v>129593.31</v>
      </c>
      <c r="G19" s="3">
        <v>11.15</v>
      </c>
    </row>
    <row r="20" spans="1:7" x14ac:dyDescent="0.35">
      <c r="A20" s="9">
        <v>45638</v>
      </c>
      <c r="B20" s="3">
        <v>5.9445611343999998</v>
      </c>
      <c r="C20" s="3">
        <v>9.0891784524000006</v>
      </c>
      <c r="D20" s="3">
        <v>23.837018172000001</v>
      </c>
      <c r="E20" s="3">
        <v>23.978481509000002</v>
      </c>
      <c r="F20" s="3">
        <v>126042.21</v>
      </c>
      <c r="G20" s="3">
        <v>12.15</v>
      </c>
    </row>
    <row r="21" spans="1:7" x14ac:dyDescent="0.35">
      <c r="A21" s="9">
        <v>45639</v>
      </c>
      <c r="B21" s="3">
        <v>5.7689053620999999</v>
      </c>
      <c r="C21" s="3">
        <v>9.0494443389000008</v>
      </c>
      <c r="D21" s="3">
        <v>23.510877882999999</v>
      </c>
      <c r="E21" s="3">
        <v>23.684627569</v>
      </c>
      <c r="F21" s="3">
        <v>124612.22</v>
      </c>
      <c r="G21" s="3">
        <v>12.15</v>
      </c>
    </row>
    <row r="22" spans="1:7" x14ac:dyDescent="0.35">
      <c r="A22" s="9">
        <v>45642</v>
      </c>
      <c r="B22" s="3">
        <v>5.6764549556999997</v>
      </c>
      <c r="C22" s="3">
        <v>8.9699761119999994</v>
      </c>
      <c r="D22" s="3">
        <v>23.175145231999998</v>
      </c>
      <c r="E22" s="3">
        <v>23.096919689</v>
      </c>
      <c r="F22" s="3">
        <v>123560.06</v>
      </c>
      <c r="G22" s="3">
        <v>12.15</v>
      </c>
    </row>
    <row r="23" spans="1:7" x14ac:dyDescent="0.35">
      <c r="A23" s="9">
        <v>45643</v>
      </c>
      <c r="B23" s="3">
        <v>5.7134351181999996</v>
      </c>
      <c r="C23" s="3">
        <v>9.0494443389000008</v>
      </c>
      <c r="D23" s="3">
        <v>23.424546629999998</v>
      </c>
      <c r="E23" s="3">
        <v>23.390773629000002</v>
      </c>
      <c r="F23" s="3">
        <v>124698.04</v>
      </c>
      <c r="G23" s="3">
        <v>12.15</v>
      </c>
    </row>
    <row r="24" spans="1:7" x14ac:dyDescent="0.35">
      <c r="A24" s="9">
        <v>45644</v>
      </c>
      <c r="B24" s="3">
        <v>5.4083487769999996</v>
      </c>
      <c r="C24" s="3">
        <v>8.7216379028999995</v>
      </c>
      <c r="D24" s="3">
        <v>22.772266051999999</v>
      </c>
      <c r="E24" s="3">
        <v>22.769482441000001</v>
      </c>
      <c r="F24" s="3">
        <v>120771.88</v>
      </c>
      <c r="G24" s="3">
        <v>12.15</v>
      </c>
    </row>
    <row r="25" spans="1:7" x14ac:dyDescent="0.35">
      <c r="A25" s="9">
        <v>45645</v>
      </c>
      <c r="B25" s="3">
        <v>5.3621235737999999</v>
      </c>
      <c r="C25" s="3">
        <v>8.8905078850999999</v>
      </c>
      <c r="D25" s="3">
        <v>22.916151473999999</v>
      </c>
      <c r="E25" s="3">
        <v>22.979378112999999</v>
      </c>
      <c r="F25" s="3">
        <v>121187.91</v>
      </c>
      <c r="G25" s="3">
        <v>12.15</v>
      </c>
    </row>
    <row r="26" spans="1:7" x14ac:dyDescent="0.35">
      <c r="A26" s="9">
        <v>45646</v>
      </c>
      <c r="B26" s="3">
        <v>5.2326930046999998</v>
      </c>
      <c r="C26" s="3">
        <v>8.9302419985999997</v>
      </c>
      <c r="D26" s="3">
        <v>23.098406341</v>
      </c>
      <c r="E26" s="3">
        <v>23.122107169</v>
      </c>
      <c r="F26" s="3">
        <v>122102.15</v>
      </c>
      <c r="G26" s="3">
        <v>12.15</v>
      </c>
    </row>
    <row r="27" spans="1:7" x14ac:dyDescent="0.35">
      <c r="A27" s="9">
        <v>45649</v>
      </c>
      <c r="B27" s="3">
        <v>4.9923219479999998</v>
      </c>
      <c r="C27" s="3">
        <v>8.7117043746</v>
      </c>
      <c r="D27" s="3">
        <v>22.944928558000001</v>
      </c>
      <c r="E27" s="3">
        <v>22.719107480000002</v>
      </c>
      <c r="F27" s="3">
        <v>120766.57</v>
      </c>
      <c r="G27" s="3">
        <v>12.15</v>
      </c>
    </row>
    <row r="28" spans="1:7" x14ac:dyDescent="0.35">
      <c r="A28" s="9">
        <v>45652</v>
      </c>
      <c r="B28" s="3">
        <v>5.1032624356999996</v>
      </c>
      <c r="C28" s="3">
        <v>8.6223026192999992</v>
      </c>
      <c r="D28" s="3">
        <v>23.213514677999999</v>
      </c>
      <c r="E28" s="3">
        <v>22.836649055999999</v>
      </c>
      <c r="F28" s="3">
        <v>121077.5</v>
      </c>
      <c r="G28" s="3">
        <v>12.15</v>
      </c>
    </row>
    <row r="29" spans="1:7" x14ac:dyDescent="0.35">
      <c r="A29" s="9">
        <v>45653</v>
      </c>
      <c r="B29" s="3">
        <v>5.1957128421999998</v>
      </c>
      <c r="C29" s="3">
        <v>8.642169676</v>
      </c>
      <c r="D29" s="3">
        <v>23.127183424999998</v>
      </c>
      <c r="E29" s="3">
        <v>22.626753385000001</v>
      </c>
      <c r="F29" s="3">
        <v>120269.31</v>
      </c>
      <c r="G29" s="3">
        <v>12.15</v>
      </c>
    </row>
    <row r="30" spans="1:7" x14ac:dyDescent="0.35">
      <c r="A30" s="9">
        <v>45656</v>
      </c>
      <c r="B30" s="3">
        <v>5.2049578827999996</v>
      </c>
      <c r="C30" s="3">
        <v>8.7117043746</v>
      </c>
      <c r="D30" s="3">
        <v>23.184737594000001</v>
      </c>
      <c r="E30" s="3">
        <v>22.584774249999999</v>
      </c>
      <c r="F30" s="3">
        <v>120283.4</v>
      </c>
      <c r="G30" s="3">
        <v>12.15</v>
      </c>
    </row>
    <row r="31" spans="1:7" x14ac:dyDescent="0.35">
      <c r="A31" s="9">
        <v>45659</v>
      </c>
      <c r="B31" s="3">
        <v>5.3898586957000001</v>
      </c>
      <c r="C31" s="3">
        <v>8.5428343923999996</v>
      </c>
      <c r="D31" s="3">
        <v>22.944928558000001</v>
      </c>
      <c r="E31" s="3">
        <v>22.565997256999999</v>
      </c>
      <c r="F31" s="3">
        <v>120125.39</v>
      </c>
      <c r="G31" s="3">
        <v>12.15</v>
      </c>
    </row>
    <row r="32" spans="1:7" x14ac:dyDescent="0.35">
      <c r="A32" s="9">
        <v>45660</v>
      </c>
      <c r="B32" s="3">
        <v>5.2419380454000004</v>
      </c>
      <c r="C32" s="3">
        <v>8.3640308818999998</v>
      </c>
      <c r="D32" s="3">
        <v>22.772266051999999</v>
      </c>
      <c r="E32" s="3">
        <v>22.171134312</v>
      </c>
      <c r="F32" s="3">
        <v>118532.68</v>
      </c>
      <c r="G32" s="3">
        <v>12.15</v>
      </c>
    </row>
    <row r="33" spans="1:7" x14ac:dyDescent="0.35">
      <c r="A33" s="9">
        <v>45663</v>
      </c>
      <c r="B33" s="3">
        <v>5.2049578827999996</v>
      </c>
      <c r="C33" s="3">
        <v>8.3739644101999993</v>
      </c>
      <c r="D33" s="3">
        <v>22.983298004000002</v>
      </c>
      <c r="E33" s="3">
        <v>23.238104398000001</v>
      </c>
      <c r="F33" s="3">
        <v>120021.52</v>
      </c>
      <c r="G33" s="3">
        <v>12.15</v>
      </c>
    </row>
    <row r="34" spans="1:7" x14ac:dyDescent="0.35">
      <c r="A34" s="9">
        <v>45664</v>
      </c>
      <c r="B34" s="3">
        <v>5.3621235737999999</v>
      </c>
      <c r="C34" s="3">
        <v>8.3044297116999992</v>
      </c>
      <c r="D34" s="3">
        <v>23.261476484999999</v>
      </c>
      <c r="E34" s="3">
        <v>23.313716452000001</v>
      </c>
      <c r="F34" s="3">
        <v>121162.66</v>
      </c>
      <c r="G34" s="3">
        <v>12.15</v>
      </c>
    </row>
    <row r="35" spans="1:7" x14ac:dyDescent="0.35">
      <c r="A35" s="9">
        <v>45665</v>
      </c>
      <c r="B35" s="3">
        <v>5.1402425983000004</v>
      </c>
      <c r="C35" s="3">
        <v>8.0858920876999996</v>
      </c>
      <c r="D35" s="3">
        <v>23.175145231999998</v>
      </c>
      <c r="E35" s="3">
        <v>23.036472256</v>
      </c>
      <c r="F35" s="3">
        <v>119624.51</v>
      </c>
      <c r="G35" s="3">
        <v>12.15</v>
      </c>
    </row>
    <row r="36" spans="1:7" x14ac:dyDescent="0.35">
      <c r="A36" s="9">
        <v>45666</v>
      </c>
      <c r="B36" s="3">
        <v>5.2696731672999997</v>
      </c>
      <c r="C36" s="3">
        <v>7.9468226906000003</v>
      </c>
      <c r="D36" s="3">
        <v>23.280661208000001</v>
      </c>
      <c r="E36" s="3">
        <v>22.994465559999998</v>
      </c>
      <c r="F36" s="3">
        <v>119780.56</v>
      </c>
      <c r="G36" s="3">
        <v>12.15</v>
      </c>
    </row>
    <row r="37" spans="1:7" x14ac:dyDescent="0.35">
      <c r="A37" s="9">
        <v>45667</v>
      </c>
      <c r="B37" s="3">
        <v>5.1309975576999998</v>
      </c>
      <c r="C37" s="3">
        <v>7.8276203502000001</v>
      </c>
      <c r="D37" s="3">
        <v>23.223107039999999</v>
      </c>
      <c r="E37" s="3">
        <v>22.784432077999998</v>
      </c>
      <c r="F37" s="3">
        <v>118856.48</v>
      </c>
      <c r="G37" s="3">
        <v>12.15</v>
      </c>
    </row>
    <row r="38" spans="1:7" x14ac:dyDescent="0.35">
      <c r="A38" s="9">
        <v>45670</v>
      </c>
      <c r="B38" s="3">
        <v>5.1125074764000003</v>
      </c>
      <c r="C38" s="3">
        <v>7.7183515382000003</v>
      </c>
      <c r="D38" s="3">
        <v>23.223107039999999</v>
      </c>
      <c r="E38" s="3">
        <v>22.927254846</v>
      </c>
      <c r="F38" s="3">
        <v>119006.93</v>
      </c>
      <c r="G38" s="3">
        <v>12.15</v>
      </c>
    </row>
    <row r="39" spans="1:7" x14ac:dyDescent="0.35">
      <c r="A39" s="9">
        <v>45671</v>
      </c>
      <c r="B39" s="3">
        <v>5.3251434112</v>
      </c>
      <c r="C39" s="3">
        <v>7.7481521232999997</v>
      </c>
      <c r="D39" s="3">
        <v>23.645170943</v>
      </c>
      <c r="E39" s="3">
        <v>22.986064219999999</v>
      </c>
      <c r="F39" s="3">
        <v>119298.67</v>
      </c>
      <c r="G39" s="3">
        <v>12.15</v>
      </c>
    </row>
    <row r="40" spans="1:7" x14ac:dyDescent="0.35">
      <c r="A40" s="9">
        <v>45672</v>
      </c>
      <c r="B40" s="3">
        <v>5.7226801589000003</v>
      </c>
      <c r="C40" s="3">
        <v>7.8772879921000003</v>
      </c>
      <c r="D40" s="3">
        <v>24.239897352</v>
      </c>
      <c r="E40" s="3">
        <v>23.851402164</v>
      </c>
      <c r="F40" s="3">
        <v>122650.2</v>
      </c>
      <c r="G40" s="3">
        <v>12.15</v>
      </c>
    </row>
    <row r="41" spans="1:7" x14ac:dyDescent="0.35">
      <c r="A41" s="9">
        <v>45673</v>
      </c>
      <c r="B41" s="3">
        <v>5.4915541428000001</v>
      </c>
      <c r="C41" s="3">
        <v>7.7084180098999999</v>
      </c>
      <c r="D41" s="3">
        <v>24.345413327999999</v>
      </c>
      <c r="E41" s="3">
        <v>23.666572701</v>
      </c>
      <c r="F41" s="3">
        <v>121234.14</v>
      </c>
      <c r="G41" s="3">
        <v>12.15</v>
      </c>
    </row>
    <row r="42" spans="1:7" x14ac:dyDescent="0.35">
      <c r="A42" s="9">
        <v>45674</v>
      </c>
      <c r="B42" s="3">
        <v>5.5100442240999996</v>
      </c>
      <c r="C42" s="3">
        <v>7.7282850665999998</v>
      </c>
      <c r="D42" s="3">
        <v>24.316636243000001</v>
      </c>
      <c r="E42" s="3">
        <v>23.792592789</v>
      </c>
      <c r="F42" s="3">
        <v>122350.38</v>
      </c>
      <c r="G42" s="3">
        <v>12.15</v>
      </c>
    </row>
    <row r="43" spans="1:7" x14ac:dyDescent="0.35">
      <c r="A43" s="9">
        <v>45677</v>
      </c>
      <c r="B43" s="3">
        <v>5.4823091021000003</v>
      </c>
      <c r="C43" s="3">
        <v>7.7183515382000003</v>
      </c>
      <c r="D43" s="3">
        <v>24.393375134999999</v>
      </c>
      <c r="E43" s="3">
        <v>24.011027609999999</v>
      </c>
      <c r="F43" s="3">
        <v>122855.15</v>
      </c>
      <c r="G43" s="3">
        <v>12.15</v>
      </c>
    </row>
    <row r="44" spans="1:7" x14ac:dyDescent="0.35">
      <c r="A44" s="9">
        <v>45678</v>
      </c>
      <c r="B44" s="3">
        <v>5.7134351181999996</v>
      </c>
      <c r="C44" s="3">
        <v>7.7382185950000002</v>
      </c>
      <c r="D44" s="3">
        <v>24.613999448000001</v>
      </c>
      <c r="E44" s="3">
        <v>24.019428949999998</v>
      </c>
      <c r="F44" s="3">
        <v>123338.34</v>
      </c>
      <c r="G44" s="3">
        <v>12.15</v>
      </c>
    </row>
    <row r="45" spans="1:7" x14ac:dyDescent="0.35">
      <c r="A45" s="9">
        <v>45679</v>
      </c>
      <c r="B45" s="3">
        <v>5.8890908905000003</v>
      </c>
      <c r="C45" s="3">
        <v>7.8176868218999997</v>
      </c>
      <c r="D45" s="3">
        <v>25.064840436000001</v>
      </c>
      <c r="E45" s="3">
        <v>23.893408861000001</v>
      </c>
      <c r="F45" s="3">
        <v>122971.77</v>
      </c>
      <c r="G45" s="3">
        <v>12.15</v>
      </c>
    </row>
    <row r="46" spans="1:7" x14ac:dyDescent="0.35">
      <c r="A46" s="9">
        <v>45680</v>
      </c>
      <c r="B46" s="3">
        <v>5.8983359311000001</v>
      </c>
      <c r="C46" s="3">
        <v>7.6289497830000004</v>
      </c>
      <c r="D46" s="3">
        <v>25.630789759999999</v>
      </c>
      <c r="E46" s="3">
        <v>23.859803503999998</v>
      </c>
      <c r="F46" s="3">
        <v>122483.32</v>
      </c>
      <c r="G46" s="3">
        <v>12.15</v>
      </c>
    </row>
    <row r="47" spans="1:7" x14ac:dyDescent="0.35">
      <c r="A47" s="9">
        <v>45681</v>
      </c>
      <c r="B47" s="3">
        <v>5.8151305652999996</v>
      </c>
      <c r="C47" s="3">
        <v>7.5494815560999999</v>
      </c>
      <c r="D47" s="3">
        <v>25.534866145999999</v>
      </c>
      <c r="E47" s="3">
        <v>23.927014218</v>
      </c>
      <c r="F47" s="3">
        <v>122446.94</v>
      </c>
      <c r="G47" s="3">
        <v>12.15</v>
      </c>
    </row>
    <row r="48" spans="1:7" x14ac:dyDescent="0.35">
      <c r="A48" s="9">
        <v>45684</v>
      </c>
      <c r="B48" s="3">
        <v>5.7966404840000001</v>
      </c>
      <c r="C48" s="3">
        <v>7.9170221055000001</v>
      </c>
      <c r="D48" s="3">
        <v>26.580433543000002</v>
      </c>
      <c r="E48" s="3">
        <v>24.531910645</v>
      </c>
      <c r="F48" s="3">
        <v>124861.5</v>
      </c>
      <c r="G48" s="3">
        <v>12.15</v>
      </c>
    </row>
    <row r="49" spans="1:7" x14ac:dyDescent="0.35">
      <c r="A49" s="9">
        <v>45685</v>
      </c>
      <c r="B49" s="3">
        <v>5.7504152808000004</v>
      </c>
      <c r="C49" s="3">
        <v>7.7481521232999997</v>
      </c>
      <c r="D49" s="3">
        <v>26.407771037</v>
      </c>
      <c r="E49" s="3">
        <v>24.531910645</v>
      </c>
      <c r="F49" s="3">
        <v>124055.5</v>
      </c>
      <c r="G49" s="3">
        <v>12.15</v>
      </c>
    </row>
    <row r="50" spans="1:7" x14ac:dyDescent="0.35">
      <c r="A50" s="9">
        <v>45686</v>
      </c>
      <c r="B50" s="3">
        <v>5.7134351181999996</v>
      </c>
      <c r="C50" s="3">
        <v>7.7282850665999998</v>
      </c>
      <c r="D50" s="3">
        <v>26.321439783999999</v>
      </c>
      <c r="E50" s="3">
        <v>24.573917341000001</v>
      </c>
      <c r="F50" s="3">
        <v>123432.12</v>
      </c>
      <c r="G50" s="3">
        <v>12.15</v>
      </c>
    </row>
    <row r="51" spans="1:7" x14ac:dyDescent="0.35">
      <c r="A51" s="9">
        <v>45687</v>
      </c>
      <c r="B51" s="3">
        <v>5.8058855246999999</v>
      </c>
      <c r="C51" s="3">
        <v>8.0660250310000006</v>
      </c>
      <c r="D51" s="3">
        <v>26.513287012999999</v>
      </c>
      <c r="E51" s="3">
        <v>25.027589661</v>
      </c>
      <c r="F51" s="3">
        <v>126912.78</v>
      </c>
      <c r="G51" s="3">
        <v>13.15</v>
      </c>
    </row>
    <row r="52" spans="1:7" x14ac:dyDescent="0.35">
      <c r="A52" s="9">
        <v>45688</v>
      </c>
      <c r="B52" s="3">
        <v>5.8983359311000001</v>
      </c>
      <c r="C52" s="3">
        <v>8.0560915025999993</v>
      </c>
      <c r="D52" s="3">
        <v>26.551656458</v>
      </c>
      <c r="E52" s="3">
        <v>25.044392339000002</v>
      </c>
      <c r="F52" s="3">
        <v>126134.94</v>
      </c>
      <c r="G52" s="3">
        <v>13.15</v>
      </c>
    </row>
    <row r="53" spans="1:7" x14ac:dyDescent="0.35">
      <c r="A53" s="9">
        <v>45691</v>
      </c>
      <c r="B53" s="3">
        <v>5.7596603215000002</v>
      </c>
      <c r="C53" s="3">
        <v>8.0560915025999993</v>
      </c>
      <c r="D53" s="3">
        <v>26.484509928000001</v>
      </c>
      <c r="E53" s="3">
        <v>24.899509474999999</v>
      </c>
      <c r="F53" s="3">
        <v>125970.46</v>
      </c>
      <c r="G53" s="3">
        <v>13.15</v>
      </c>
    </row>
    <row r="54" spans="1:7" x14ac:dyDescent="0.35">
      <c r="A54" s="9">
        <v>45692</v>
      </c>
      <c r="B54" s="3">
        <v>5.6394747930999998</v>
      </c>
      <c r="C54" s="3">
        <v>8.0660250310000006</v>
      </c>
      <c r="D54" s="3">
        <v>26.637987711000001</v>
      </c>
      <c r="E54" s="3">
        <v>24.966760007000001</v>
      </c>
      <c r="F54" s="3">
        <v>125147.42</v>
      </c>
      <c r="G54" s="3">
        <v>13.15</v>
      </c>
    </row>
    <row r="55" spans="1:7" x14ac:dyDescent="0.35">
      <c r="A55" s="9">
        <v>45693</v>
      </c>
      <c r="B55" s="3">
        <v>5.6024946304999999</v>
      </c>
      <c r="C55" s="3">
        <v>8.3044297116999992</v>
      </c>
      <c r="D55" s="3">
        <v>26.69554188</v>
      </c>
      <c r="E55" s="3">
        <v>25.252574767999999</v>
      </c>
      <c r="F55" s="3">
        <v>125534.07</v>
      </c>
      <c r="G55" s="3">
        <v>13.15</v>
      </c>
    </row>
    <row r="56" spans="1:7" x14ac:dyDescent="0.35">
      <c r="A56" s="9">
        <v>45694</v>
      </c>
      <c r="B56" s="3">
        <v>5.7041900775999999</v>
      </c>
      <c r="C56" s="3">
        <v>8.2547620698999999</v>
      </c>
      <c r="D56" s="3">
        <v>27.002497446</v>
      </c>
      <c r="E56" s="3">
        <v>25.353450565999999</v>
      </c>
      <c r="F56" s="3">
        <v>126224.74</v>
      </c>
      <c r="G56" s="3">
        <v>13.15</v>
      </c>
    </row>
    <row r="57" spans="1:7" x14ac:dyDescent="0.35">
      <c r="A57" s="9">
        <v>45695</v>
      </c>
      <c r="B57" s="3">
        <v>5.6117396711999996</v>
      </c>
      <c r="C57" s="3">
        <v>8.0858920876999996</v>
      </c>
      <c r="D57" s="3">
        <v>26.647580073</v>
      </c>
      <c r="E57" s="3">
        <v>25.218949502000001</v>
      </c>
      <c r="F57" s="3">
        <v>124619.4</v>
      </c>
      <c r="G57" s="3">
        <v>13.15</v>
      </c>
    </row>
    <row r="58" spans="1:7" x14ac:dyDescent="0.35">
      <c r="A58" s="9">
        <v>45698</v>
      </c>
      <c r="B58" s="3">
        <v>5.6579648744000002</v>
      </c>
      <c r="C58" s="3">
        <v>8.0163573890999995</v>
      </c>
      <c r="D58" s="3">
        <v>26.685949518000001</v>
      </c>
      <c r="E58" s="3">
        <v>25.546795844999998</v>
      </c>
      <c r="F58" s="3">
        <v>125571.81</v>
      </c>
      <c r="G58" s="3">
        <v>13.15</v>
      </c>
    </row>
    <row r="59" spans="1:7" x14ac:dyDescent="0.35">
      <c r="A59" s="9">
        <v>45699</v>
      </c>
      <c r="B59" s="3">
        <v>5.7226801589000003</v>
      </c>
      <c r="C59" s="3">
        <v>8.3044297116999992</v>
      </c>
      <c r="D59" s="3">
        <v>26.916166192999999</v>
      </c>
      <c r="E59" s="3">
        <v>25.891454822</v>
      </c>
      <c r="F59" s="3">
        <v>126521.66</v>
      </c>
      <c r="G59" s="3">
        <v>13.15</v>
      </c>
    </row>
    <row r="60" spans="1:7" x14ac:dyDescent="0.35">
      <c r="A60" s="9">
        <v>45700</v>
      </c>
      <c r="B60" s="3">
        <v>5.5562694273000002</v>
      </c>
      <c r="C60" s="3">
        <v>8.1454932579000001</v>
      </c>
      <c r="D60" s="3">
        <v>26.474917566999999</v>
      </c>
      <c r="E60" s="3">
        <v>25.311418982999999</v>
      </c>
      <c r="F60" s="3">
        <v>124380.21</v>
      </c>
      <c r="G60" s="3">
        <v>13.15</v>
      </c>
    </row>
    <row r="61" spans="1:7" x14ac:dyDescent="0.35">
      <c r="A61" s="9">
        <v>45701</v>
      </c>
      <c r="B61" s="3">
        <v>5.6024946304999999</v>
      </c>
      <c r="C61" s="3">
        <v>8.2448285415000004</v>
      </c>
      <c r="D61" s="3">
        <v>26.331032145000002</v>
      </c>
      <c r="E61" s="3">
        <v>25.479545312999999</v>
      </c>
      <c r="F61" s="3">
        <v>124850.18</v>
      </c>
      <c r="G61" s="3">
        <v>13.15</v>
      </c>
    </row>
    <row r="62" spans="1:7" x14ac:dyDescent="0.35">
      <c r="A62" s="9">
        <v>45702</v>
      </c>
      <c r="B62" s="3">
        <v>5.9168260123999996</v>
      </c>
      <c r="C62" s="3">
        <v>8.4136985237000008</v>
      </c>
      <c r="D62" s="3">
        <v>27.578039132000001</v>
      </c>
      <c r="E62" s="3">
        <v>26.076393785</v>
      </c>
      <c r="F62" s="3">
        <v>128218.59</v>
      </c>
      <c r="G62" s="3">
        <v>13.15</v>
      </c>
    </row>
    <row r="63" spans="1:7" x14ac:dyDescent="0.35">
      <c r="A63" s="9">
        <v>45705</v>
      </c>
      <c r="B63" s="3">
        <v>5.8058855246999999</v>
      </c>
      <c r="C63" s="3">
        <v>8.7613720163999993</v>
      </c>
      <c r="D63" s="3">
        <v>27.971325951000001</v>
      </c>
      <c r="E63" s="3">
        <v>26.261332748000001</v>
      </c>
      <c r="F63" s="3">
        <v>128552.13</v>
      </c>
      <c r="G63" s="3">
        <v>13.15</v>
      </c>
    </row>
    <row r="64" spans="1:7" x14ac:dyDescent="0.35">
      <c r="A64" s="9">
        <v>45706</v>
      </c>
      <c r="B64" s="3">
        <v>5.8336206466</v>
      </c>
      <c r="C64" s="3">
        <v>8.6719702611000002</v>
      </c>
      <c r="D64" s="3">
        <v>28.249504432999998</v>
      </c>
      <c r="E64" s="3">
        <v>26.123515704999999</v>
      </c>
      <c r="F64" s="3">
        <v>128531.71</v>
      </c>
      <c r="G64" s="3">
        <v>13.15</v>
      </c>
    </row>
    <row r="65" spans="1:7" x14ac:dyDescent="0.35">
      <c r="A65" s="9">
        <v>45707</v>
      </c>
      <c r="B65" s="3">
        <v>5.6302297524</v>
      </c>
      <c r="C65" s="3">
        <v>8.6024355626000002</v>
      </c>
      <c r="D65" s="3">
        <v>27.683555108</v>
      </c>
      <c r="E65" s="3">
        <v>25.884419121000001</v>
      </c>
      <c r="F65" s="3">
        <v>127308.8</v>
      </c>
      <c r="G65" s="3">
        <v>13.15</v>
      </c>
    </row>
    <row r="66" spans="1:7" x14ac:dyDescent="0.35">
      <c r="A66" s="9">
        <v>45708</v>
      </c>
      <c r="B66" s="3">
        <v>5.6394747930999998</v>
      </c>
      <c r="C66" s="3">
        <v>8.7911726014999996</v>
      </c>
      <c r="D66" s="3">
        <v>26.858612023999999</v>
      </c>
      <c r="E66" s="3">
        <v>25.742732256</v>
      </c>
      <c r="F66" s="3">
        <v>127600.58</v>
      </c>
      <c r="G66" s="3">
        <v>13.15</v>
      </c>
    </row>
    <row r="67" spans="1:7" x14ac:dyDescent="0.35">
      <c r="A67" s="9">
        <v>45709</v>
      </c>
      <c r="B67" s="3">
        <v>5.6579648744000002</v>
      </c>
      <c r="C67" s="3">
        <v>8.7613720163999993</v>
      </c>
      <c r="D67" s="3">
        <v>26.839427301000001</v>
      </c>
      <c r="E67" s="3">
        <v>25.769298543000001</v>
      </c>
      <c r="F67" s="3">
        <v>127128.06</v>
      </c>
      <c r="G67" s="3">
        <v>13.15</v>
      </c>
    </row>
    <row r="68" spans="1:7" x14ac:dyDescent="0.35">
      <c r="A68" s="9">
        <v>45712</v>
      </c>
      <c r="B68" s="3">
        <v>5.6487198337000004</v>
      </c>
      <c r="C68" s="3">
        <v>8.6223026192999992</v>
      </c>
      <c r="D68" s="3">
        <v>26.676357157000002</v>
      </c>
      <c r="E68" s="3">
        <v>25.459358525999999</v>
      </c>
      <c r="F68" s="3">
        <v>125401.38</v>
      </c>
      <c r="G68" s="3">
        <v>13.15</v>
      </c>
    </row>
    <row r="69" spans="1:7" x14ac:dyDescent="0.35">
      <c r="A69" s="9">
        <v>45713</v>
      </c>
      <c r="B69" s="3">
        <v>5.4360838988999998</v>
      </c>
      <c r="C69" s="3">
        <v>8.3838979386000005</v>
      </c>
      <c r="D69" s="3">
        <v>27.079236337000001</v>
      </c>
      <c r="E69" s="3">
        <v>25.654177965999999</v>
      </c>
      <c r="F69" s="3">
        <v>125979.5</v>
      </c>
      <c r="G69" s="3">
        <v>13.15</v>
      </c>
    </row>
    <row r="70" spans="1:7" x14ac:dyDescent="0.35">
      <c r="A70" s="9">
        <v>45714</v>
      </c>
      <c r="B70" s="3">
        <v>5.4175938176000002</v>
      </c>
      <c r="C70" s="3">
        <v>8.0163573890999995</v>
      </c>
      <c r="D70" s="3">
        <v>26.925758554000002</v>
      </c>
      <c r="E70" s="3">
        <v>25.477069384</v>
      </c>
      <c r="F70" s="3">
        <v>124768.71</v>
      </c>
      <c r="G70" s="3">
        <v>13.15</v>
      </c>
    </row>
    <row r="71" spans="1:7" x14ac:dyDescent="0.35">
      <c r="A71" s="9">
        <v>45715</v>
      </c>
      <c r="B71" s="3">
        <v>5.3213665739999998</v>
      </c>
      <c r="C71" s="3">
        <v>7.9070885771999997</v>
      </c>
      <c r="D71" s="3">
        <v>26.820242578999999</v>
      </c>
      <c r="E71" s="3">
        <v>25.751587685000001</v>
      </c>
      <c r="F71" s="3">
        <v>124798.96</v>
      </c>
      <c r="G71" s="3">
        <v>13.15</v>
      </c>
    </row>
    <row r="72" spans="1:7" x14ac:dyDescent="0.35">
      <c r="A72" s="9">
        <v>45716</v>
      </c>
      <c r="B72" s="3">
        <v>5.5330665100000003</v>
      </c>
      <c r="C72" s="3">
        <v>7.7382185950000002</v>
      </c>
      <c r="D72" s="3">
        <v>26.196739085000001</v>
      </c>
      <c r="E72" s="3">
        <v>25.291105374000001</v>
      </c>
      <c r="F72" s="3">
        <v>122799.09</v>
      </c>
      <c r="G72" s="3">
        <v>13.15</v>
      </c>
    </row>
    <row r="73" spans="1:7" x14ac:dyDescent="0.35">
      <c r="A73" s="9">
        <v>45721</v>
      </c>
      <c r="B73" s="3">
        <v>5.5138210612999998</v>
      </c>
      <c r="C73" s="3">
        <v>7.8176868218999997</v>
      </c>
      <c r="D73" s="3">
        <v>26.637987711000001</v>
      </c>
      <c r="E73" s="3">
        <v>25.696624695000001</v>
      </c>
      <c r="F73" s="3">
        <v>123046.85</v>
      </c>
      <c r="G73" s="3">
        <v>13.15</v>
      </c>
    </row>
    <row r="74" spans="1:7" x14ac:dyDescent="0.35">
      <c r="A74" s="9">
        <v>45722</v>
      </c>
      <c r="B74" s="3">
        <v>5.1289120866999998</v>
      </c>
      <c r="C74" s="3">
        <v>7.8375538785999996</v>
      </c>
      <c r="D74" s="3">
        <v>26.599618266</v>
      </c>
      <c r="E74" s="3">
        <v>25.634598359000002</v>
      </c>
      <c r="F74" s="3">
        <v>123357.55</v>
      </c>
      <c r="G74" s="3">
        <v>13.15</v>
      </c>
    </row>
    <row r="75" spans="1:7" x14ac:dyDescent="0.35">
      <c r="A75" s="9">
        <v>45723</v>
      </c>
      <c r="B75" s="3">
        <v>5.4849528881999996</v>
      </c>
      <c r="C75" s="3">
        <v>7.9964903323999996</v>
      </c>
      <c r="D75" s="3">
        <v>26.916166192999999</v>
      </c>
      <c r="E75" s="3">
        <v>25.873842796000002</v>
      </c>
      <c r="F75" s="3">
        <v>125034.63</v>
      </c>
      <c r="G75" s="3">
        <v>13.15</v>
      </c>
    </row>
    <row r="76" spans="1:7" x14ac:dyDescent="0.35">
      <c r="A76" s="9">
        <v>45726</v>
      </c>
      <c r="B76" s="3">
        <v>5.2924984008999996</v>
      </c>
      <c r="C76" s="3">
        <v>7.7084180098999999</v>
      </c>
      <c r="D76" s="3">
        <v>26.829834940000001</v>
      </c>
      <c r="E76" s="3">
        <v>25.891564605999999</v>
      </c>
      <c r="F76" s="3">
        <v>124519.38</v>
      </c>
      <c r="G76" s="3">
        <v>13.15</v>
      </c>
    </row>
    <row r="77" spans="1:7" x14ac:dyDescent="0.35">
      <c r="A77" s="9">
        <v>45727</v>
      </c>
      <c r="B77" s="3">
        <v>5.0711757405000002</v>
      </c>
      <c r="C77" s="3">
        <v>7.4501462723999996</v>
      </c>
      <c r="D77" s="3">
        <v>26.590025904000001</v>
      </c>
      <c r="E77" s="3">
        <v>25.723207410000001</v>
      </c>
      <c r="F77" s="3">
        <v>123507.35</v>
      </c>
      <c r="G77" s="3">
        <v>13.15</v>
      </c>
    </row>
    <row r="78" spans="1:7" x14ac:dyDescent="0.35">
      <c r="A78" s="9">
        <v>45728</v>
      </c>
      <c r="B78" s="3">
        <v>5.0423075674</v>
      </c>
      <c r="C78" s="3">
        <v>7.3905451022999999</v>
      </c>
      <c r="D78" s="3">
        <v>26.556517289999999</v>
      </c>
      <c r="E78" s="3">
        <v>25.811816460999999</v>
      </c>
      <c r="F78" s="3">
        <v>123863.5</v>
      </c>
      <c r="G78" s="3">
        <v>13.15</v>
      </c>
    </row>
    <row r="79" spans="1:7" x14ac:dyDescent="0.35">
      <c r="A79" s="9">
        <v>45729</v>
      </c>
      <c r="B79" s="3">
        <v>5.2251393303000002</v>
      </c>
      <c r="C79" s="3">
        <v>7.4700133292000004</v>
      </c>
      <c r="D79" s="3">
        <v>26.988490214999999</v>
      </c>
      <c r="E79" s="3">
        <v>26.059921803000002</v>
      </c>
      <c r="F79" s="3">
        <v>125637.11</v>
      </c>
      <c r="G79" s="3">
        <v>13.15</v>
      </c>
    </row>
    <row r="80" spans="1:7" x14ac:dyDescent="0.35">
      <c r="A80" s="9">
        <v>45730</v>
      </c>
      <c r="B80" s="3">
        <v>5.4560847151000003</v>
      </c>
      <c r="C80" s="3">
        <v>7.5395480277000004</v>
      </c>
      <c r="D80" s="3">
        <v>27.371375307000001</v>
      </c>
      <c r="E80" s="3">
        <v>26.990316835000002</v>
      </c>
      <c r="F80" s="3">
        <v>128957.09</v>
      </c>
      <c r="G80" s="3">
        <v>13.15</v>
      </c>
    </row>
    <row r="81" spans="1:7" x14ac:dyDescent="0.35">
      <c r="A81" s="9">
        <v>45733</v>
      </c>
      <c r="B81" s="3">
        <v>5.3502347471</v>
      </c>
      <c r="C81" s="3">
        <v>7.7580856517000001</v>
      </c>
      <c r="D81" s="3">
        <v>27.940794162</v>
      </c>
      <c r="E81" s="3">
        <v>27.566275663999999</v>
      </c>
      <c r="F81" s="3">
        <v>130833.96</v>
      </c>
      <c r="G81" s="3">
        <v>13.15</v>
      </c>
    </row>
    <row r="82" spans="1:7" x14ac:dyDescent="0.35">
      <c r="A82" s="9">
        <v>45734</v>
      </c>
      <c r="B82" s="3">
        <v>5.2443847789999998</v>
      </c>
      <c r="C82" s="3">
        <v>7.7680191800999996</v>
      </c>
      <c r="D82" s="3">
        <v>27.980064427999999</v>
      </c>
      <c r="E82" s="3">
        <v>27.730202408</v>
      </c>
      <c r="F82" s="3">
        <v>131474.73000000001</v>
      </c>
      <c r="G82" s="3">
        <v>13.15</v>
      </c>
    </row>
    <row r="83" spans="1:7" x14ac:dyDescent="0.35">
      <c r="A83" s="9">
        <v>45735</v>
      </c>
      <c r="B83" s="3">
        <v>5.3021211252000002</v>
      </c>
      <c r="C83" s="3">
        <v>7.6786174247999996</v>
      </c>
      <c r="D83" s="3">
        <v>27.872071197</v>
      </c>
      <c r="E83" s="3">
        <v>27.925142318999999</v>
      </c>
      <c r="F83" s="3">
        <v>132508.45000000001</v>
      </c>
      <c r="G83" s="3">
        <v>13.15</v>
      </c>
    </row>
    <row r="84" spans="1:7" x14ac:dyDescent="0.35">
      <c r="A84" s="9">
        <v>45736</v>
      </c>
      <c r="B84" s="3">
        <v>5.3117438496</v>
      </c>
      <c r="C84" s="3">
        <v>7.7481521232999997</v>
      </c>
      <c r="D84" s="3">
        <v>27.734625265999998</v>
      </c>
      <c r="E84" s="3">
        <v>27.749696399000001</v>
      </c>
      <c r="F84" s="3">
        <v>131954.9</v>
      </c>
      <c r="G84" s="3">
        <v>14.15</v>
      </c>
    </row>
    <row r="85" spans="1:7" x14ac:dyDescent="0.35">
      <c r="A85" s="9">
        <v>45737</v>
      </c>
      <c r="B85" s="3">
        <v>5.3887256445</v>
      </c>
      <c r="C85" s="3">
        <v>7.8673544636999999</v>
      </c>
      <c r="D85" s="3">
        <v>27.852436063999999</v>
      </c>
      <c r="E85" s="3">
        <v>27.710708416999999</v>
      </c>
      <c r="F85" s="3">
        <v>132344.88</v>
      </c>
      <c r="G85" s="3">
        <v>14.15</v>
      </c>
    </row>
    <row r="86" spans="1:7" x14ac:dyDescent="0.35">
      <c r="A86" s="9">
        <v>45740</v>
      </c>
      <c r="B86" s="3">
        <v>5.2636302278000002</v>
      </c>
      <c r="C86" s="3">
        <v>7.6686838964000001</v>
      </c>
      <c r="D86" s="3">
        <v>27.842618497</v>
      </c>
      <c r="E86" s="3">
        <v>27.739949403000001</v>
      </c>
      <c r="F86" s="3">
        <v>131321.44</v>
      </c>
      <c r="G86" s="3">
        <v>14.15</v>
      </c>
    </row>
    <row r="87" spans="1:7" x14ac:dyDescent="0.35">
      <c r="A87" s="9">
        <v>45741</v>
      </c>
      <c r="B87" s="3">
        <v>5.2636302278000002</v>
      </c>
      <c r="C87" s="3">
        <v>7.7183515382000003</v>
      </c>
      <c r="D87" s="3">
        <v>27.950611727999998</v>
      </c>
      <c r="E87" s="3">
        <v>27.837419358999998</v>
      </c>
      <c r="F87" s="3">
        <v>132067.69</v>
      </c>
      <c r="G87" s="3">
        <v>14.15</v>
      </c>
    </row>
    <row r="88" spans="1:7" x14ac:dyDescent="0.35">
      <c r="A88" s="9">
        <v>45742</v>
      </c>
      <c r="B88" s="3">
        <v>5.2251393303000002</v>
      </c>
      <c r="C88" s="3">
        <v>7.7580856517000001</v>
      </c>
      <c r="D88" s="3">
        <v>28.284408987999999</v>
      </c>
      <c r="E88" s="3">
        <v>27.593744470000001</v>
      </c>
      <c r="F88" s="3">
        <v>132519.63</v>
      </c>
      <c r="G88" s="3">
        <v>14.15</v>
      </c>
    </row>
    <row r="89" spans="1:7" x14ac:dyDescent="0.35">
      <c r="A89" s="9">
        <v>45743</v>
      </c>
      <c r="B89" s="3">
        <v>5.1192893623</v>
      </c>
      <c r="C89" s="3">
        <v>7.7382185950000002</v>
      </c>
      <c r="D89" s="3">
        <v>28.166598190999999</v>
      </c>
      <c r="E89" s="3">
        <v>27.603491465000001</v>
      </c>
      <c r="F89" s="3">
        <v>133148.75</v>
      </c>
      <c r="G89" s="3">
        <v>14.15</v>
      </c>
    </row>
    <row r="90" spans="1:7" x14ac:dyDescent="0.35">
      <c r="A90" s="9">
        <v>45744</v>
      </c>
      <c r="B90" s="3">
        <v>5.0230621186000004</v>
      </c>
      <c r="C90" s="3">
        <v>7.7282850665999998</v>
      </c>
      <c r="D90" s="3">
        <v>28.117510358000001</v>
      </c>
      <c r="E90" s="3">
        <v>27.379310567000001</v>
      </c>
      <c r="F90" s="3">
        <v>131902.18</v>
      </c>
      <c r="G90" s="3">
        <v>14.15</v>
      </c>
    </row>
    <row r="91" spans="1:7" x14ac:dyDescent="0.35">
      <c r="A91" s="9">
        <v>45747</v>
      </c>
      <c r="B91" s="3">
        <v>4.7632485608000001</v>
      </c>
      <c r="C91" s="3">
        <v>7.3905451022999999</v>
      </c>
      <c r="D91" s="3">
        <v>27.675719867000002</v>
      </c>
      <c r="E91" s="3">
        <v>27.038165721999999</v>
      </c>
      <c r="F91" s="3">
        <v>130259.54</v>
      </c>
      <c r="G91" s="3">
        <v>14.15</v>
      </c>
    </row>
    <row r="92" spans="1:7" x14ac:dyDescent="0.35">
      <c r="A92" s="9">
        <v>45748</v>
      </c>
      <c r="B92" s="3">
        <v>4.6958894901999999</v>
      </c>
      <c r="C92" s="3">
        <v>7.3706780455000001</v>
      </c>
      <c r="D92" s="3">
        <v>27.813165798</v>
      </c>
      <c r="E92" s="3">
        <v>27.026120517999999</v>
      </c>
      <c r="F92" s="3">
        <v>131147.29</v>
      </c>
      <c r="G92" s="3">
        <v>14.15</v>
      </c>
    </row>
    <row r="93" spans="1:7" x14ac:dyDescent="0.35">
      <c r="A93" s="9">
        <v>45749</v>
      </c>
      <c r="B93" s="3">
        <v>4.7055122145999997</v>
      </c>
      <c r="C93" s="3">
        <v>7.3408774603999998</v>
      </c>
      <c r="D93" s="3">
        <v>27.832800931000001</v>
      </c>
      <c r="E93" s="3">
        <v>27.211431341000001</v>
      </c>
      <c r="F93" s="3">
        <v>131190.34</v>
      </c>
      <c r="G93" s="3">
        <v>14.15</v>
      </c>
    </row>
    <row r="94" spans="1:7" x14ac:dyDescent="0.35">
      <c r="A94" s="9">
        <v>45750</v>
      </c>
      <c r="B94" s="3">
        <v>4.7440031120999997</v>
      </c>
      <c r="C94" s="3">
        <v>7.8971550488000002</v>
      </c>
      <c r="D94" s="3">
        <v>27.989881994000001</v>
      </c>
      <c r="E94" s="3">
        <v>27.543040181999999</v>
      </c>
      <c r="F94" s="3">
        <v>131140.65</v>
      </c>
      <c r="G94" s="3">
        <v>14.15</v>
      </c>
    </row>
    <row r="95" spans="1:7" x14ac:dyDescent="0.35">
      <c r="A95" s="9">
        <v>45751</v>
      </c>
      <c r="B95" s="3">
        <v>4.5611713491000003</v>
      </c>
      <c r="C95" s="3">
        <v>7.5991491979000001</v>
      </c>
      <c r="D95" s="3">
        <v>27.469550972</v>
      </c>
      <c r="E95" s="3">
        <v>26.928588507000001</v>
      </c>
      <c r="F95" s="3">
        <v>127256</v>
      </c>
      <c r="G95" s="3">
        <v>14.15</v>
      </c>
    </row>
    <row r="96" spans="1:7" x14ac:dyDescent="0.35">
      <c r="A96" s="9">
        <v>45754</v>
      </c>
      <c r="B96" s="3">
        <v>4.4841895542000003</v>
      </c>
      <c r="C96" s="3">
        <v>7.4501462723999996</v>
      </c>
      <c r="D96" s="3">
        <v>27.175023977999999</v>
      </c>
      <c r="E96" s="3">
        <v>26.831056494999999</v>
      </c>
      <c r="F96" s="3">
        <v>125588.09</v>
      </c>
      <c r="G96" s="3">
        <v>14.15</v>
      </c>
    </row>
    <row r="97" spans="1:7" x14ac:dyDescent="0.35">
      <c r="A97" s="9">
        <v>45755</v>
      </c>
      <c r="B97" s="3">
        <v>4.4168304836000001</v>
      </c>
      <c r="C97" s="3">
        <v>7.4700133292000004</v>
      </c>
      <c r="D97" s="3">
        <v>27.125936145000001</v>
      </c>
      <c r="E97" s="3">
        <v>26.850562897</v>
      </c>
      <c r="F97" s="3">
        <v>123931.89</v>
      </c>
      <c r="G97" s="3">
        <v>14.15</v>
      </c>
    </row>
    <row r="98" spans="1:7" x14ac:dyDescent="0.35">
      <c r="A98" s="9">
        <v>45756</v>
      </c>
      <c r="B98" s="3">
        <v>4.5804167977999999</v>
      </c>
      <c r="C98" s="3">
        <v>7.6587503680999998</v>
      </c>
      <c r="D98" s="3">
        <v>27.243746943000001</v>
      </c>
      <c r="E98" s="3">
        <v>27.318716554000002</v>
      </c>
      <c r="F98" s="3">
        <v>127795.93</v>
      </c>
      <c r="G98" s="3">
        <v>14.15</v>
      </c>
    </row>
    <row r="99" spans="1:7" x14ac:dyDescent="0.35">
      <c r="A99" s="9">
        <v>45757</v>
      </c>
      <c r="B99" s="3">
        <v>4.5611713491000003</v>
      </c>
      <c r="C99" s="3">
        <v>7.6190162546</v>
      </c>
      <c r="D99" s="3">
        <v>27.057213180000002</v>
      </c>
      <c r="E99" s="3">
        <v>27.123652530000001</v>
      </c>
      <c r="F99" s="3">
        <v>126354.75</v>
      </c>
      <c r="G99" s="3">
        <v>14.15</v>
      </c>
    </row>
    <row r="100" spans="1:7" x14ac:dyDescent="0.35">
      <c r="A100" s="9">
        <v>45758</v>
      </c>
      <c r="B100" s="3">
        <v>4.5034350028999999</v>
      </c>
      <c r="C100" s="3">
        <v>7.8176868218999997</v>
      </c>
      <c r="D100" s="3">
        <v>27.292834774999999</v>
      </c>
      <c r="E100" s="3">
        <v>27.455261370999999</v>
      </c>
      <c r="F100" s="3">
        <v>127682.4</v>
      </c>
      <c r="G100" s="3">
        <v>14.15</v>
      </c>
    </row>
    <row r="101" spans="1:7" x14ac:dyDescent="0.35">
      <c r="A101" s="9">
        <v>45761</v>
      </c>
      <c r="B101" s="3">
        <v>4.4938122786000001</v>
      </c>
      <c r="C101" s="3">
        <v>7.8375538785999996</v>
      </c>
      <c r="D101" s="3">
        <v>27.557909070000001</v>
      </c>
      <c r="E101" s="3">
        <v>27.825883016999999</v>
      </c>
      <c r="F101" s="3">
        <v>129453.91</v>
      </c>
      <c r="G101" s="3">
        <v>14.15</v>
      </c>
    </row>
    <row r="102" spans="1:7" x14ac:dyDescent="0.35">
      <c r="A102" s="9">
        <v>45762</v>
      </c>
      <c r="B102" s="3">
        <v>4.7151349390000004</v>
      </c>
      <c r="C102" s="3">
        <v>7.8276203502000001</v>
      </c>
      <c r="D102" s="3">
        <v>27.263382075999999</v>
      </c>
      <c r="E102" s="3">
        <v>28.040453443000001</v>
      </c>
      <c r="F102" s="3">
        <v>129245.39</v>
      </c>
      <c r="G102" s="3">
        <v>14.15</v>
      </c>
    </row>
    <row r="103" spans="1:7" x14ac:dyDescent="0.35">
      <c r="A103" s="9">
        <v>45763</v>
      </c>
      <c r="B103" s="3">
        <v>4.7728712851999999</v>
      </c>
      <c r="C103" s="3">
        <v>7.7580856517000001</v>
      </c>
      <c r="D103" s="3">
        <v>27.145571277999998</v>
      </c>
      <c r="E103" s="3">
        <v>27.952674632000001</v>
      </c>
      <c r="F103" s="3">
        <v>128316.89</v>
      </c>
      <c r="G103" s="3">
        <v>14.15</v>
      </c>
    </row>
    <row r="104" spans="1:7" x14ac:dyDescent="0.35">
      <c r="A104" s="9">
        <v>45764</v>
      </c>
      <c r="B104" s="3">
        <v>4.8979667018999997</v>
      </c>
      <c r="C104" s="3">
        <v>7.847487407</v>
      </c>
      <c r="D104" s="3">
        <v>26.929584815999998</v>
      </c>
      <c r="E104" s="3">
        <v>27.962427833</v>
      </c>
      <c r="F104" s="3">
        <v>129650.03</v>
      </c>
      <c r="G104" s="3">
        <v>14.15</v>
      </c>
    </row>
    <row r="105" spans="1:7" x14ac:dyDescent="0.35">
      <c r="A105" s="9">
        <v>45769</v>
      </c>
      <c r="B105" s="3">
        <v>4.8113621825999999</v>
      </c>
      <c r="C105" s="3">
        <v>8.0064238608</v>
      </c>
      <c r="D105" s="3">
        <v>27.273199642000002</v>
      </c>
      <c r="E105" s="3">
        <v>28.440334692</v>
      </c>
      <c r="F105" s="3">
        <v>130464.38</v>
      </c>
      <c r="G105" s="3">
        <v>14.15</v>
      </c>
    </row>
    <row r="106" spans="1:7" x14ac:dyDescent="0.35">
      <c r="A106" s="9">
        <v>45770</v>
      </c>
      <c r="B106" s="3">
        <v>4.9653257725</v>
      </c>
      <c r="C106" s="3">
        <v>8.2845626550000002</v>
      </c>
      <c r="D106" s="3">
        <v>27.528456370000001</v>
      </c>
      <c r="E106" s="3">
        <v>28.986513959</v>
      </c>
      <c r="F106" s="3">
        <v>132216.07</v>
      </c>
      <c r="G106" s="3">
        <v>14.15</v>
      </c>
    </row>
    <row r="107" spans="1:7" x14ac:dyDescent="0.35">
      <c r="A107" s="9">
        <v>45771</v>
      </c>
      <c r="B107" s="3">
        <v>4.9845712212000004</v>
      </c>
      <c r="C107" s="3">
        <v>8.5229673357000006</v>
      </c>
      <c r="D107" s="3">
        <v>27.194659111</v>
      </c>
      <c r="E107" s="3">
        <v>29.630225238000001</v>
      </c>
      <c r="F107" s="3">
        <v>134580.43</v>
      </c>
      <c r="G107" s="3">
        <v>14.15</v>
      </c>
    </row>
    <row r="108" spans="1:7" x14ac:dyDescent="0.35">
      <c r="A108" s="9">
        <v>45772</v>
      </c>
      <c r="B108" s="3">
        <v>5.0904211891999998</v>
      </c>
      <c r="C108" s="3">
        <v>8.8699999999999992</v>
      </c>
      <c r="D108" s="3">
        <v>27.499003671000001</v>
      </c>
      <c r="E108" s="3">
        <v>29.513186824000002</v>
      </c>
      <c r="F108" s="3">
        <v>134739.28</v>
      </c>
      <c r="G108" s="3">
        <v>14.15</v>
      </c>
    </row>
    <row r="109" spans="1:7" x14ac:dyDescent="0.35">
      <c r="A109" s="9">
        <v>45775</v>
      </c>
      <c r="B109" s="3">
        <v>5.1481575354000002</v>
      </c>
      <c r="C109" s="3">
        <v>8.85</v>
      </c>
      <c r="D109" s="3">
        <v>27.832800931000001</v>
      </c>
      <c r="E109" s="3">
        <v>29.835042463000001</v>
      </c>
      <c r="F109" s="3">
        <v>135015.89000000001</v>
      </c>
      <c r="G109" s="3">
        <v>14.15</v>
      </c>
    </row>
    <row r="110" spans="1:7" x14ac:dyDescent="0.35">
      <c r="A110" s="9">
        <v>45776</v>
      </c>
      <c r="B110" s="3">
        <v>5.1096666379000002</v>
      </c>
      <c r="C110" s="3">
        <v>8.7899999999999991</v>
      </c>
      <c r="D110" s="3">
        <v>27.980064427999999</v>
      </c>
      <c r="E110" s="3">
        <v>30.039859689</v>
      </c>
      <c r="F110" s="3">
        <v>135092.99</v>
      </c>
      <c r="G110" s="3">
        <v>14.15</v>
      </c>
    </row>
    <row r="111" spans="1:7" x14ac:dyDescent="0.35">
      <c r="A111" s="9">
        <v>45777</v>
      </c>
      <c r="B111" s="3">
        <v>5.2540075033999996</v>
      </c>
      <c r="C111" s="3">
        <v>8.93</v>
      </c>
      <c r="D111" s="3">
        <v>28.402219786</v>
      </c>
      <c r="E111" s="3">
        <v>30.312949322000001</v>
      </c>
      <c r="F111" s="3">
        <v>135066.97</v>
      </c>
      <c r="G111" s="3">
        <v>14.15</v>
      </c>
    </row>
    <row r="112" spans="1:7" x14ac:dyDescent="0.35">
      <c r="A112" s="9">
        <v>45779</v>
      </c>
      <c r="B112" s="3">
        <v>5.3077694406999996</v>
      </c>
      <c r="C112" s="3">
        <v>8.99</v>
      </c>
      <c r="D112" s="3">
        <v>28.372767086</v>
      </c>
      <c r="E112" s="3">
        <v>30.642453282000002</v>
      </c>
      <c r="F112" s="3">
        <v>135133.88</v>
      </c>
      <c r="G112" s="3">
        <v>14.15</v>
      </c>
    </row>
    <row r="113" spans="1:7" x14ac:dyDescent="0.35">
      <c r="A113" s="9">
        <v>45782</v>
      </c>
      <c r="B113" s="3">
        <v>5.3273192360000001</v>
      </c>
      <c r="C113" s="3">
        <v>8.93</v>
      </c>
      <c r="D113" s="3">
        <v>28.588753549</v>
      </c>
      <c r="E113" s="3">
        <v>30.066687439999999</v>
      </c>
      <c r="F113" s="3">
        <v>133491.23000000001</v>
      </c>
      <c r="G113" s="3">
        <v>14.15</v>
      </c>
    </row>
    <row r="114" spans="1:7" x14ac:dyDescent="0.35">
      <c r="A114" s="9">
        <v>45783</v>
      </c>
      <c r="B114" s="3">
        <v>5.2002455661999996</v>
      </c>
      <c r="C114" s="3">
        <v>8.8000000000000007</v>
      </c>
      <c r="D114" s="3">
        <v>28.372767086</v>
      </c>
      <c r="E114" s="3">
        <v>30.008134982000001</v>
      </c>
      <c r="F114" s="3">
        <v>133515.82</v>
      </c>
      <c r="G114" s="3">
        <v>14.15</v>
      </c>
    </row>
    <row r="115" spans="1:7" x14ac:dyDescent="0.35">
      <c r="A115" s="9">
        <v>45784</v>
      </c>
      <c r="B115" s="3">
        <v>5.1709208731</v>
      </c>
      <c r="C115" s="3">
        <v>8.6999999999999993</v>
      </c>
      <c r="D115" s="3">
        <v>28.775287312</v>
      </c>
      <c r="E115" s="3">
        <v>30.242344815999999</v>
      </c>
      <c r="F115" s="3">
        <v>133397.51999999999</v>
      </c>
      <c r="G115" s="3">
        <v>14.15</v>
      </c>
    </row>
    <row r="116" spans="1:7" x14ac:dyDescent="0.35">
      <c r="A116" s="9">
        <v>45785</v>
      </c>
      <c r="B116" s="3">
        <v>5.2197953615000001</v>
      </c>
      <c r="C116" s="3">
        <v>9.31</v>
      </c>
      <c r="D116" s="3">
        <v>28.873462975999999</v>
      </c>
      <c r="E116" s="3">
        <v>30.544865851000001</v>
      </c>
      <c r="F116" s="3">
        <v>136231.9</v>
      </c>
      <c r="G116" s="3">
        <v>14.65</v>
      </c>
    </row>
    <row r="117" spans="1:7" x14ac:dyDescent="0.35">
      <c r="A117" s="9">
        <v>45786</v>
      </c>
      <c r="B117" s="3">
        <v>5.3468690313999998</v>
      </c>
      <c r="C117" s="3">
        <v>9.23</v>
      </c>
      <c r="D117" s="3">
        <v>28.991273774</v>
      </c>
      <c r="E117" s="3">
        <v>31.998918571000001</v>
      </c>
      <c r="F117" s="3">
        <v>136511.88</v>
      </c>
      <c r="G117" s="3">
        <v>14.65</v>
      </c>
    </row>
    <row r="118" spans="1:7" x14ac:dyDescent="0.35">
      <c r="A118" s="9">
        <v>45789</v>
      </c>
      <c r="B118" s="3">
        <v>5.1806957707999999</v>
      </c>
      <c r="C118" s="3">
        <v>9.14</v>
      </c>
      <c r="D118" s="3">
        <v>28.539665715999998</v>
      </c>
      <c r="E118" s="3">
        <v>31.569533875000001</v>
      </c>
      <c r="F118" s="3">
        <v>136563.18</v>
      </c>
      <c r="G118" s="3">
        <v>14.65</v>
      </c>
    </row>
    <row r="119" spans="1:7" x14ac:dyDescent="0.35">
      <c r="A119" s="9">
        <v>45790</v>
      </c>
      <c r="B119" s="3">
        <v>5.3175443383000003</v>
      </c>
      <c r="C119" s="3">
        <v>9.3800000000000008</v>
      </c>
      <c r="D119" s="3">
        <v>29.118902137999999</v>
      </c>
      <c r="E119" s="3">
        <v>31.940366112</v>
      </c>
      <c r="F119" s="3">
        <v>138963.10999999999</v>
      </c>
      <c r="G119" s="3">
        <v>14.65</v>
      </c>
    </row>
    <row r="120" spans="1:7" x14ac:dyDescent="0.35">
      <c r="A120" s="9">
        <v>45791</v>
      </c>
      <c r="B120" s="3">
        <v>5.4152933150999996</v>
      </c>
      <c r="C120" s="3">
        <v>9.52</v>
      </c>
      <c r="D120" s="3">
        <v>29.217077802999999</v>
      </c>
      <c r="E120" s="3">
        <v>32.145299717</v>
      </c>
      <c r="F120" s="3">
        <v>138422.84</v>
      </c>
      <c r="G120" s="3">
        <v>14.65</v>
      </c>
    </row>
    <row r="121" spans="1:7" x14ac:dyDescent="0.35">
      <c r="A121" s="9">
        <v>45792</v>
      </c>
      <c r="B121" s="3">
        <v>5.5521418827</v>
      </c>
      <c r="C121" s="3">
        <v>9.4499999999999993</v>
      </c>
      <c r="D121" s="3">
        <v>28.86364541</v>
      </c>
      <c r="E121" s="3">
        <v>32.584443155999999</v>
      </c>
      <c r="F121" s="3">
        <v>139334.38</v>
      </c>
      <c r="G121" s="3">
        <v>14.65</v>
      </c>
    </row>
    <row r="122" spans="1:7" x14ac:dyDescent="0.35">
      <c r="A122" s="9">
        <v>45793</v>
      </c>
      <c r="B122" s="3">
        <v>5.5619167803999998</v>
      </c>
      <c r="C122" s="3">
        <v>9.4600000000000009</v>
      </c>
      <c r="D122" s="3">
        <v>25.201693118000001</v>
      </c>
      <c r="E122" s="3">
        <v>32.808894246999998</v>
      </c>
      <c r="F122" s="3">
        <v>139187.39000000001</v>
      </c>
      <c r="G122" s="3">
        <v>14.65</v>
      </c>
    </row>
    <row r="123" spans="1:7" x14ac:dyDescent="0.35">
      <c r="A123" s="9">
        <v>45796</v>
      </c>
      <c r="B123" s="3">
        <v>5.6205661663999997</v>
      </c>
      <c r="C123" s="3">
        <v>9.52</v>
      </c>
      <c r="D123" s="3">
        <v>24.583186431000001</v>
      </c>
      <c r="E123" s="3">
        <v>33.150450255000003</v>
      </c>
      <c r="F123" s="3">
        <v>139636.41</v>
      </c>
      <c r="G123" s="3">
        <v>14.65</v>
      </c>
    </row>
    <row r="124" spans="1:7" x14ac:dyDescent="0.35">
      <c r="A124" s="9">
        <v>45797</v>
      </c>
      <c r="B124" s="3">
        <v>5.6303410640999996</v>
      </c>
      <c r="C124" s="3">
        <v>9.57</v>
      </c>
      <c r="D124" s="3">
        <v>25.034794487999999</v>
      </c>
      <c r="E124" s="3">
        <v>33.130932768999998</v>
      </c>
      <c r="F124" s="3">
        <v>140109.63</v>
      </c>
      <c r="G124" s="3">
        <v>14.65</v>
      </c>
    </row>
    <row r="125" spans="1:7" x14ac:dyDescent="0.35">
      <c r="A125" s="9">
        <v>45798</v>
      </c>
      <c r="B125" s="3">
        <v>5.3761937244000002</v>
      </c>
      <c r="C125" s="3">
        <v>9.4499999999999993</v>
      </c>
      <c r="D125" s="3">
        <v>24.799172893000001</v>
      </c>
      <c r="E125" s="3">
        <v>32.574684413</v>
      </c>
      <c r="F125" s="3">
        <v>137881.26999999999</v>
      </c>
      <c r="G125" s="3">
        <v>14.65</v>
      </c>
    </row>
    <row r="126" spans="1:7" x14ac:dyDescent="0.35">
      <c r="A126" s="9">
        <v>45799</v>
      </c>
      <c r="B126" s="3">
        <v>5.4348431105000001</v>
      </c>
      <c r="C126" s="3">
        <v>9.39</v>
      </c>
      <c r="D126" s="3">
        <v>24.593003997</v>
      </c>
      <c r="E126" s="3">
        <v>32.399027037000003</v>
      </c>
      <c r="F126" s="3">
        <v>137272.59</v>
      </c>
      <c r="G126" s="3">
        <v>14.65</v>
      </c>
    </row>
    <row r="127" spans="1:7" x14ac:dyDescent="0.35">
      <c r="A127" s="9">
        <v>45800</v>
      </c>
      <c r="B127" s="3">
        <v>5.4348431105000001</v>
      </c>
      <c r="C127" s="3">
        <v>9.48</v>
      </c>
      <c r="D127" s="3">
        <v>23.97449731</v>
      </c>
      <c r="E127" s="3">
        <v>32.496614467999997</v>
      </c>
      <c r="F127" s="3">
        <v>137824.29</v>
      </c>
      <c r="G127" s="3">
        <v>14.65</v>
      </c>
    </row>
    <row r="128" spans="1:7" x14ac:dyDescent="0.35">
      <c r="A128" s="9">
        <v>45803</v>
      </c>
      <c r="B128" s="3">
        <v>5.4152933150999996</v>
      </c>
      <c r="C128" s="3">
        <v>9.6300000000000008</v>
      </c>
      <c r="D128" s="3">
        <v>24.219936471</v>
      </c>
      <c r="E128" s="3">
        <v>32.721065559000003</v>
      </c>
      <c r="F128" s="3">
        <v>138136.14000000001</v>
      </c>
      <c r="G128" s="3">
        <v>14.65</v>
      </c>
    </row>
    <row r="129" spans="1:7" x14ac:dyDescent="0.35">
      <c r="A129" s="9">
        <v>45804</v>
      </c>
      <c r="B129" s="3">
        <v>5.7378649385999996</v>
      </c>
      <c r="C129" s="3">
        <v>9.82</v>
      </c>
      <c r="D129" s="3">
        <v>24.121760807000001</v>
      </c>
      <c r="E129" s="3">
        <v>32.935757907000003</v>
      </c>
      <c r="F129" s="3">
        <v>139541.23000000001</v>
      </c>
      <c r="G129" s="3">
        <v>14.65</v>
      </c>
    </row>
    <row r="130" spans="1:7" x14ac:dyDescent="0.35">
      <c r="A130" s="9">
        <v>45805</v>
      </c>
      <c r="B130" s="3">
        <v>5.7280900408999997</v>
      </c>
      <c r="C130" s="3">
        <v>9.85</v>
      </c>
      <c r="D130" s="3">
        <v>23.64070005</v>
      </c>
      <c r="E130" s="3">
        <v>32.584443155999999</v>
      </c>
      <c r="F130" s="3">
        <v>138887.81</v>
      </c>
      <c r="G130" s="3">
        <v>14.65</v>
      </c>
    </row>
    <row r="131" spans="1:7" x14ac:dyDescent="0.35">
      <c r="A131" s="9">
        <v>45806</v>
      </c>
      <c r="B131" s="3">
        <v>5.6694406547999998</v>
      </c>
      <c r="C131" s="3">
        <v>9.9</v>
      </c>
      <c r="D131" s="3">
        <v>23.267632524</v>
      </c>
      <c r="E131" s="3">
        <v>32.506373211000003</v>
      </c>
      <c r="F131" s="3">
        <v>138533.70000000001</v>
      </c>
      <c r="G131" s="3">
        <v>14.65</v>
      </c>
    </row>
    <row r="132" spans="1:7" x14ac:dyDescent="0.35">
      <c r="A132" s="9">
        <v>45807</v>
      </c>
      <c r="B132" s="3">
        <v>5.7085402456000001</v>
      </c>
      <c r="C132" s="3">
        <v>9.8800000000000008</v>
      </c>
      <c r="D132" s="3">
        <v>22.992740662999999</v>
      </c>
      <c r="E132" s="3">
        <v>32.564925670000001</v>
      </c>
      <c r="F132" s="3">
        <v>137026.62</v>
      </c>
      <c r="G132" s="3">
        <v>14.65</v>
      </c>
    </row>
    <row r="133" spans="1:7" x14ac:dyDescent="0.35">
      <c r="A133" s="9">
        <v>45810</v>
      </c>
      <c r="B133" s="3">
        <v>5.8062892224000002</v>
      </c>
      <c r="C133" s="3">
        <v>9.86</v>
      </c>
      <c r="D133" s="3">
        <v>22.855294733000001</v>
      </c>
      <c r="E133" s="3">
        <v>32.377116911000002</v>
      </c>
      <c r="F133" s="3">
        <v>136786.65</v>
      </c>
      <c r="G133" s="3">
        <v>14.65</v>
      </c>
    </row>
    <row r="134" spans="1:7" x14ac:dyDescent="0.35">
      <c r="A134" s="9">
        <v>45811</v>
      </c>
      <c r="B134" s="3">
        <v>5.9920122782999998</v>
      </c>
      <c r="C134" s="3">
        <v>10.01</v>
      </c>
      <c r="D134" s="3">
        <v>22.98</v>
      </c>
      <c r="E134" s="3">
        <v>32.113491410999998</v>
      </c>
      <c r="F134" s="3">
        <v>137546.26</v>
      </c>
      <c r="G134" s="3">
        <v>14.65</v>
      </c>
    </row>
    <row r="135" spans="1:7" x14ac:dyDescent="0.35">
      <c r="A135" s="9">
        <v>45812</v>
      </c>
      <c r="B135" s="3">
        <v>5.8551637108000003</v>
      </c>
      <c r="C135" s="3">
        <v>10.08</v>
      </c>
      <c r="D135" s="3">
        <v>22.35</v>
      </c>
      <c r="E135" s="3">
        <v>32.025616245000002</v>
      </c>
      <c r="F135" s="3">
        <v>137001.57999999999</v>
      </c>
      <c r="G135" s="3">
        <v>14.65</v>
      </c>
    </row>
    <row r="136" spans="1:7" x14ac:dyDescent="0.35">
      <c r="A136" s="9">
        <v>45813</v>
      </c>
      <c r="B136" s="3">
        <v>5.7378649385999996</v>
      </c>
      <c r="C136" s="3">
        <v>9.9</v>
      </c>
      <c r="D136" s="3">
        <v>22.24</v>
      </c>
      <c r="E136" s="3">
        <v>31.566712597999999</v>
      </c>
      <c r="F136" s="3">
        <v>136236.37</v>
      </c>
      <c r="G136" s="3">
        <v>14.65</v>
      </c>
    </row>
    <row r="137" spans="1:7" x14ac:dyDescent="0.35">
      <c r="A137" s="9">
        <v>45814</v>
      </c>
      <c r="B137" s="3">
        <v>5.8942633014999997</v>
      </c>
      <c r="C137" s="3">
        <v>9.9</v>
      </c>
      <c r="D137" s="3">
        <v>21.71</v>
      </c>
      <c r="E137" s="3">
        <v>31.742462930999999</v>
      </c>
      <c r="F137" s="3">
        <v>136102.1</v>
      </c>
      <c r="G137" s="3">
        <v>14.65</v>
      </c>
    </row>
    <row r="138" spans="1:7" x14ac:dyDescent="0.35">
      <c r="A138" s="9">
        <v>45817</v>
      </c>
      <c r="B138" s="3">
        <v>5.7769645292999998</v>
      </c>
      <c r="C138" s="3">
        <v>9.89</v>
      </c>
      <c r="D138" s="3">
        <v>21.73</v>
      </c>
      <c r="E138" s="3">
        <v>31.410490078999999</v>
      </c>
      <c r="F138" s="3">
        <v>135699.38</v>
      </c>
      <c r="G138" s="3">
        <v>14.65</v>
      </c>
    </row>
    <row r="139" spans="1:7" x14ac:dyDescent="0.35">
      <c r="A139" s="9">
        <v>45818</v>
      </c>
      <c r="B139" s="3">
        <v>5.7769645292999998</v>
      </c>
      <c r="C139" s="3">
        <v>9.98</v>
      </c>
      <c r="D139" s="3">
        <v>21.54</v>
      </c>
      <c r="E139" s="3">
        <v>31.463867163</v>
      </c>
      <c r="F139" s="3">
        <v>136436.07</v>
      </c>
      <c r="G139" s="3">
        <v>14.65</v>
      </c>
    </row>
    <row r="140" spans="1:7" x14ac:dyDescent="0.35">
      <c r="A140" s="9">
        <v>45819</v>
      </c>
      <c r="B140" s="3">
        <v>5.8356139153999997</v>
      </c>
      <c r="C140" s="3">
        <v>9.83</v>
      </c>
      <c r="D140" s="3">
        <v>21.4</v>
      </c>
      <c r="E140" s="3">
        <v>31.730259265000001</v>
      </c>
      <c r="F140" s="3">
        <v>137128.04</v>
      </c>
      <c r="G140" s="3">
        <v>14.65</v>
      </c>
    </row>
    <row r="141" spans="1:7" x14ac:dyDescent="0.35">
      <c r="A141" s="9">
        <v>45820</v>
      </c>
      <c r="B141" s="3">
        <v>6.0506616643999998</v>
      </c>
      <c r="C141" s="3">
        <v>9.92</v>
      </c>
      <c r="D141" s="3">
        <v>21.42</v>
      </c>
      <c r="E141" s="3">
        <v>31.878254878</v>
      </c>
      <c r="F141" s="3">
        <v>137799.74</v>
      </c>
      <c r="G141" s="3">
        <v>14.65</v>
      </c>
    </row>
    <row r="142" spans="1:7" x14ac:dyDescent="0.35">
      <c r="A142" s="9">
        <v>45821</v>
      </c>
      <c r="B142" s="3">
        <v>6.0604365620999996</v>
      </c>
      <c r="C142" s="3">
        <v>10.02</v>
      </c>
      <c r="D142" s="3">
        <v>21.59</v>
      </c>
      <c r="E142" s="3">
        <v>31.799323884</v>
      </c>
      <c r="F142" s="3">
        <v>137212.63</v>
      </c>
      <c r="G142" s="3">
        <v>14.65</v>
      </c>
    </row>
    <row r="143" spans="1:7" x14ac:dyDescent="0.35">
      <c r="A143" s="9">
        <v>45824</v>
      </c>
      <c r="B143" s="3">
        <v>6.1288608458000002</v>
      </c>
      <c r="C143" s="3">
        <v>10.210000000000001</v>
      </c>
      <c r="D143" s="3">
        <v>21.98</v>
      </c>
      <c r="E143" s="3">
        <v>32.203845225000002</v>
      </c>
      <c r="F143" s="3">
        <v>139255.91</v>
      </c>
      <c r="G143" s="3">
        <v>14.65</v>
      </c>
    </row>
    <row r="144" spans="1:7" x14ac:dyDescent="0.35">
      <c r="A144" s="9">
        <v>45825</v>
      </c>
      <c r="B144" s="3">
        <v>6.1093110504999997</v>
      </c>
      <c r="C144" s="3">
        <v>10.07</v>
      </c>
      <c r="D144" s="3">
        <v>21.9</v>
      </c>
      <c r="E144" s="3">
        <v>32.371573585</v>
      </c>
      <c r="F144" s="3">
        <v>138840.01999999999</v>
      </c>
      <c r="G144" s="3">
        <v>14.65</v>
      </c>
    </row>
    <row r="145" spans="1:7" x14ac:dyDescent="0.35">
      <c r="A145" s="9">
        <v>45826</v>
      </c>
      <c r="B145" s="3">
        <v>6.1484106411999999</v>
      </c>
      <c r="C145" s="3">
        <v>10.06</v>
      </c>
      <c r="D145" s="3">
        <v>21.81</v>
      </c>
      <c r="E145" s="3">
        <v>32.055849612000003</v>
      </c>
      <c r="F145" s="3">
        <v>138716.64000000001</v>
      </c>
      <c r="G145" s="3">
        <v>14.65</v>
      </c>
    </row>
    <row r="146" spans="1:7" x14ac:dyDescent="0.35">
      <c r="A146" s="9">
        <v>45828</v>
      </c>
      <c r="B146" s="3">
        <v>6.1093110504999997</v>
      </c>
      <c r="C146" s="3">
        <v>9.8000000000000007</v>
      </c>
      <c r="D146" s="3">
        <v>21.35</v>
      </c>
      <c r="E146" s="3">
        <v>32.055849612000003</v>
      </c>
      <c r="F146" s="3">
        <v>137115.82999999999</v>
      </c>
      <c r="G146" s="3">
        <v>14.9</v>
      </c>
    </row>
    <row r="147" spans="1:7" x14ac:dyDescent="0.35">
      <c r="A147" s="9">
        <v>45831</v>
      </c>
      <c r="B147" s="3">
        <v>6.1875102319000002</v>
      </c>
      <c r="C147" s="3">
        <v>9.89</v>
      </c>
      <c r="D147" s="3">
        <v>21.09</v>
      </c>
      <c r="E147" s="3">
        <v>31.838789381000002</v>
      </c>
      <c r="F147" s="3">
        <v>136550.5</v>
      </c>
      <c r="G147" s="3">
        <v>14.9</v>
      </c>
    </row>
    <row r="148" spans="1:7" x14ac:dyDescent="0.35">
      <c r="A148" s="9">
        <v>45832</v>
      </c>
      <c r="B148" s="3">
        <v>6.1190859482000004</v>
      </c>
      <c r="C148" s="3">
        <v>10.17</v>
      </c>
      <c r="D148" s="3">
        <v>21.44</v>
      </c>
      <c r="E148" s="3">
        <v>32.411039082000002</v>
      </c>
      <c r="F148" s="3">
        <v>137164.60999999999</v>
      </c>
      <c r="G148" s="3">
        <v>14.9</v>
      </c>
    </row>
    <row r="149" spans="1:7" x14ac:dyDescent="0.35">
      <c r="A149" s="9">
        <v>45833</v>
      </c>
      <c r="B149" s="3">
        <v>6.1875102319000002</v>
      </c>
      <c r="C149" s="3">
        <v>9.94</v>
      </c>
      <c r="D149" s="3">
        <v>21.26</v>
      </c>
      <c r="E149" s="3">
        <v>32.026250490000002</v>
      </c>
      <c r="F149" s="3">
        <v>135767.29</v>
      </c>
      <c r="G149" s="3">
        <v>14.9</v>
      </c>
    </row>
    <row r="150" spans="1:7" x14ac:dyDescent="0.35">
      <c r="A150" s="9">
        <v>45834</v>
      </c>
      <c r="B150" s="3">
        <v>6.1875102319000002</v>
      </c>
      <c r="C150" s="3">
        <v>9.92</v>
      </c>
      <c r="D150" s="3">
        <v>21.6</v>
      </c>
      <c r="E150" s="3">
        <v>31.907854</v>
      </c>
      <c r="F150" s="3">
        <v>137113.89000000001</v>
      </c>
      <c r="G150" s="3">
        <v>14.9</v>
      </c>
    </row>
    <row r="151" spans="1:7" x14ac:dyDescent="0.35">
      <c r="A151" s="9">
        <v>45835</v>
      </c>
      <c r="B151" s="3">
        <v>6.3145839017999998</v>
      </c>
      <c r="C151" s="3">
        <v>9.98</v>
      </c>
      <c r="D151" s="3">
        <v>21.73</v>
      </c>
      <c r="E151" s="3">
        <v>31.828923007</v>
      </c>
      <c r="F151" s="3">
        <v>136865.79</v>
      </c>
      <c r="G151" s="3">
        <v>14.9</v>
      </c>
    </row>
    <row r="152" spans="1:7" x14ac:dyDescent="0.35">
      <c r="A152" s="9">
        <v>45838</v>
      </c>
      <c r="B152" s="3">
        <v>6.3536834925000001</v>
      </c>
      <c r="C152" s="3">
        <v>10.17</v>
      </c>
      <c r="D152" s="3">
        <v>22.09</v>
      </c>
      <c r="E152" s="3">
        <v>32.54916832</v>
      </c>
      <c r="F152" s="3">
        <v>138854.6</v>
      </c>
      <c r="G152" s="3">
        <v>14.9</v>
      </c>
    </row>
    <row r="153" spans="1:7" x14ac:dyDescent="0.35">
      <c r="A153" s="9">
        <v>45839</v>
      </c>
      <c r="B153" s="3">
        <v>6.2559345156999999</v>
      </c>
      <c r="C153" s="3">
        <v>10.07</v>
      </c>
      <c r="D153" s="3">
        <v>21.91</v>
      </c>
      <c r="E153" s="3">
        <v>32.586335103000003</v>
      </c>
      <c r="F153" s="3">
        <v>139549.43</v>
      </c>
      <c r="G153" s="3">
        <v>14.9</v>
      </c>
    </row>
    <row r="154" spans="1:7" x14ac:dyDescent="0.35">
      <c r="A154" s="9">
        <v>45840</v>
      </c>
      <c r="B154" s="3">
        <v>6.3048090041</v>
      </c>
      <c r="C154" s="3">
        <v>9.6999999999999993</v>
      </c>
      <c r="D154" s="3">
        <v>21.99</v>
      </c>
      <c r="E154" s="3">
        <v>32.388901990999997</v>
      </c>
      <c r="F154" s="3">
        <v>139050.93</v>
      </c>
      <c r="G154" s="3">
        <v>14.9</v>
      </c>
    </row>
    <row r="155" spans="1:7" x14ac:dyDescent="0.35">
      <c r="A155" s="9">
        <v>45841</v>
      </c>
      <c r="B155" s="3">
        <v>6.3243587994999997</v>
      </c>
      <c r="C155" s="3">
        <v>9.89</v>
      </c>
      <c r="D155" s="3">
        <v>22.3</v>
      </c>
      <c r="E155" s="3">
        <v>33.178634439</v>
      </c>
      <c r="F155" s="3">
        <v>140927.85999999999</v>
      </c>
      <c r="G155" s="3">
        <v>14.9</v>
      </c>
    </row>
    <row r="156" spans="1:7" x14ac:dyDescent="0.35">
      <c r="A156" s="9">
        <v>45842</v>
      </c>
      <c r="B156" s="3">
        <v>6.3830081854999996</v>
      </c>
      <c r="C156" s="3">
        <v>9.8000000000000007</v>
      </c>
      <c r="D156" s="3">
        <v>22.43</v>
      </c>
      <c r="E156" s="3">
        <v>33.247736027999998</v>
      </c>
      <c r="F156" s="3">
        <v>141263.56</v>
      </c>
      <c r="G156" s="3">
        <v>14.9</v>
      </c>
    </row>
    <row r="157" spans="1:7" x14ac:dyDescent="0.35">
      <c r="A157" s="9">
        <v>45845</v>
      </c>
      <c r="B157" s="3">
        <v>6.3927830832000003</v>
      </c>
      <c r="C157" s="3">
        <v>9.57</v>
      </c>
      <c r="D157" s="3">
        <v>22.06</v>
      </c>
      <c r="E157" s="3">
        <v>32.872613115</v>
      </c>
      <c r="F157" s="3">
        <v>139489.70000000001</v>
      </c>
      <c r="G157" s="3">
        <v>14.9</v>
      </c>
    </row>
    <row r="158" spans="1:7" x14ac:dyDescent="0.35">
      <c r="A158" s="9">
        <v>45846</v>
      </c>
      <c r="B158" s="3">
        <v>6.6860300135999999</v>
      </c>
      <c r="C158" s="3">
        <v>9.59</v>
      </c>
      <c r="D158" s="3">
        <v>22</v>
      </c>
      <c r="E158" s="3">
        <v>32.773896559000001</v>
      </c>
      <c r="F158" s="3">
        <v>139302.85</v>
      </c>
      <c r="G158" s="3">
        <v>14.9</v>
      </c>
    </row>
    <row r="159" spans="1:7" x14ac:dyDescent="0.35">
      <c r="A159" s="9">
        <v>45847</v>
      </c>
      <c r="B159" s="3">
        <v>6.4025579809000002</v>
      </c>
      <c r="C159" s="3">
        <v>9.4499999999999993</v>
      </c>
      <c r="D159" s="3">
        <v>21.45</v>
      </c>
      <c r="E159" s="3">
        <v>32.053265701000001</v>
      </c>
      <c r="F159" s="3">
        <v>137480.79</v>
      </c>
      <c r="G159" s="3">
        <v>14.9</v>
      </c>
    </row>
    <row r="160" spans="1:7" x14ac:dyDescent="0.35">
      <c r="A160" s="9">
        <v>45848</v>
      </c>
      <c r="B160" s="3">
        <v>6.3830081854999996</v>
      </c>
      <c r="C160" s="3">
        <v>9.34</v>
      </c>
      <c r="D160" s="3">
        <v>21.21</v>
      </c>
      <c r="E160" s="3">
        <v>31.293148220999999</v>
      </c>
      <c r="F160" s="3">
        <v>136743.26</v>
      </c>
      <c r="G160" s="3">
        <v>14.9</v>
      </c>
    </row>
    <row r="161" spans="1:7" x14ac:dyDescent="0.35">
      <c r="A161" s="9">
        <v>45849</v>
      </c>
      <c r="B161" s="3">
        <v>6.2950341064000002</v>
      </c>
      <c r="C161" s="3">
        <v>9.11</v>
      </c>
      <c r="D161" s="3">
        <v>21.14</v>
      </c>
      <c r="E161" s="3">
        <v>31.194431665</v>
      </c>
      <c r="F161" s="3">
        <v>136187.31</v>
      </c>
      <c r="G161" s="3">
        <v>14.9</v>
      </c>
    </row>
    <row r="162" spans="1:7" x14ac:dyDescent="0.35">
      <c r="A162" s="9">
        <v>45852</v>
      </c>
      <c r="B162" s="3">
        <v>6.2657094133999998</v>
      </c>
      <c r="C162" s="3">
        <v>9.1199999999999992</v>
      </c>
      <c r="D162" s="3">
        <v>20.68</v>
      </c>
      <c r="E162" s="3">
        <v>30.927896963999999</v>
      </c>
      <c r="F162" s="3">
        <v>135298.99</v>
      </c>
      <c r="G162" s="3">
        <v>14.9</v>
      </c>
    </row>
    <row r="163" spans="1:7" x14ac:dyDescent="0.35">
      <c r="A163" s="9">
        <v>45853</v>
      </c>
      <c r="B163" s="3">
        <v>6.4416575716000004</v>
      </c>
      <c r="C163" s="3">
        <v>9.14</v>
      </c>
      <c r="D163" s="3">
        <v>20.9</v>
      </c>
      <c r="E163" s="3">
        <v>31.006870208999999</v>
      </c>
      <c r="F163" s="3">
        <v>135250.1</v>
      </c>
      <c r="G163" s="3">
        <v>14.9</v>
      </c>
    </row>
    <row r="164" spans="1:7" x14ac:dyDescent="0.35">
      <c r="A164" s="9">
        <v>45854</v>
      </c>
      <c r="B164" s="3">
        <v>6.3927830832000003</v>
      </c>
      <c r="C164" s="3">
        <v>9</v>
      </c>
      <c r="D164" s="3">
        <v>20.88</v>
      </c>
      <c r="E164" s="3">
        <v>31.11545842</v>
      </c>
      <c r="F164" s="3">
        <v>135510.99</v>
      </c>
      <c r="G164" s="3">
        <v>14.9</v>
      </c>
    </row>
    <row r="165" spans="1:7" x14ac:dyDescent="0.35">
      <c r="A165" s="9">
        <v>45855</v>
      </c>
      <c r="B165" s="3">
        <v>6.3927830832000003</v>
      </c>
      <c r="C165" s="3">
        <v>8.99</v>
      </c>
      <c r="D165" s="3">
        <v>20.74</v>
      </c>
      <c r="E165" s="3">
        <v>31.520196298999998</v>
      </c>
      <c r="F165" s="3">
        <v>135564.74</v>
      </c>
      <c r="G165" s="3">
        <v>14.9</v>
      </c>
    </row>
    <row r="166" spans="1:7" x14ac:dyDescent="0.35">
      <c r="A166" s="9">
        <v>45856</v>
      </c>
      <c r="B166" s="3">
        <v>6.2950341064000002</v>
      </c>
      <c r="C166" s="3">
        <v>8.94</v>
      </c>
      <c r="D166" s="3">
        <v>20.260000000000002</v>
      </c>
      <c r="E166" s="3">
        <v>30.957511930999999</v>
      </c>
      <c r="F166" s="3">
        <v>133381.57999999999</v>
      </c>
      <c r="G166" s="3">
        <v>14.9</v>
      </c>
    </row>
    <row r="167" spans="1:7" x14ac:dyDescent="0.35">
      <c r="A167" s="9">
        <v>45859</v>
      </c>
      <c r="B167" s="3">
        <v>6.3536834925000001</v>
      </c>
      <c r="C167" s="3">
        <v>9.0500000000000007</v>
      </c>
      <c r="D167" s="3">
        <v>19.86</v>
      </c>
      <c r="E167" s="3">
        <v>31.293148220999999</v>
      </c>
      <c r="F167" s="3">
        <v>134166.72</v>
      </c>
      <c r="G167" s="3">
        <v>14.9</v>
      </c>
    </row>
    <row r="168" spans="1:7" x14ac:dyDescent="0.35">
      <c r="A168" s="9">
        <v>45860</v>
      </c>
      <c r="B168" s="3">
        <v>6.3927830832000003</v>
      </c>
      <c r="C168" s="3">
        <v>9.42</v>
      </c>
      <c r="D168" s="3">
        <v>19.89</v>
      </c>
      <c r="E168" s="3">
        <v>30.858795375</v>
      </c>
      <c r="F168" s="3">
        <v>134035.72</v>
      </c>
      <c r="G168" s="3">
        <v>14.9</v>
      </c>
    </row>
    <row r="169" spans="1:7" x14ac:dyDescent="0.35">
      <c r="A169" s="9">
        <v>45861</v>
      </c>
      <c r="B169" s="3">
        <v>6.5003069577000003</v>
      </c>
      <c r="C169" s="3">
        <v>9.7200000000000006</v>
      </c>
      <c r="D169" s="3">
        <v>20.21</v>
      </c>
      <c r="E169" s="3">
        <v>31.362249810000002</v>
      </c>
      <c r="F169" s="3">
        <v>135368.26999999999</v>
      </c>
      <c r="G169" s="3">
        <v>14.9</v>
      </c>
    </row>
    <row r="170" spans="1:7" x14ac:dyDescent="0.35">
      <c r="A170" s="9">
        <v>45862</v>
      </c>
      <c r="B170" s="3">
        <v>6.4905320599999996</v>
      </c>
      <c r="C170" s="3">
        <v>9.76</v>
      </c>
      <c r="D170" s="3">
        <v>20.07</v>
      </c>
      <c r="E170" s="3">
        <v>30.868667030000001</v>
      </c>
      <c r="F170" s="3">
        <v>133807.59</v>
      </c>
      <c r="G170" s="3">
        <v>14.9</v>
      </c>
    </row>
    <row r="171" spans="1:7" x14ac:dyDescent="0.35">
      <c r="A171" s="9">
        <v>45863</v>
      </c>
      <c r="B171" s="3">
        <v>6.5589563438000003</v>
      </c>
      <c r="C171" s="3">
        <v>9.6</v>
      </c>
      <c r="D171" s="3">
        <v>20.239999999999998</v>
      </c>
      <c r="E171" s="3">
        <v>31.056228486999998</v>
      </c>
      <c r="F171" s="3">
        <v>133524.18</v>
      </c>
      <c r="G171" s="3">
        <v>14.9</v>
      </c>
    </row>
    <row r="172" spans="1:7" x14ac:dyDescent="0.35">
      <c r="A172" s="9">
        <v>45866</v>
      </c>
      <c r="B172" s="3">
        <v>6.4416575716000004</v>
      </c>
      <c r="C172" s="3">
        <v>9.32</v>
      </c>
      <c r="D172" s="3">
        <v>19.940000000000001</v>
      </c>
      <c r="E172" s="3">
        <v>30.404699218000001</v>
      </c>
      <c r="F172" s="3">
        <v>132129.26</v>
      </c>
      <c r="G172" s="3">
        <v>14.9</v>
      </c>
    </row>
    <row r="173" spans="1:7" x14ac:dyDescent="0.35">
      <c r="A173" s="9">
        <v>45867</v>
      </c>
      <c r="B173" s="3">
        <v>6.3830081854999996</v>
      </c>
      <c r="C173" s="3">
        <v>9.2200000000000006</v>
      </c>
      <c r="D173" s="3">
        <v>19.95</v>
      </c>
      <c r="E173" s="3">
        <v>30.582389018000001</v>
      </c>
      <c r="F173" s="3">
        <v>132725.68</v>
      </c>
      <c r="G173" s="3">
        <v>14.9</v>
      </c>
    </row>
    <row r="174" spans="1:7" x14ac:dyDescent="0.35">
      <c r="A174" s="9">
        <v>45868</v>
      </c>
      <c r="B174" s="3">
        <v>6.4025579809000002</v>
      </c>
      <c r="C174" s="3">
        <v>9.44</v>
      </c>
      <c r="D174" s="3">
        <v>19.899999999999999</v>
      </c>
      <c r="E174" s="3">
        <v>30.848923718999998</v>
      </c>
      <c r="F174" s="3">
        <v>133989.74</v>
      </c>
      <c r="G174" s="3">
        <v>14.9</v>
      </c>
    </row>
    <row r="175" spans="1:7" x14ac:dyDescent="0.35">
      <c r="A175" s="9">
        <v>45869</v>
      </c>
      <c r="B175" s="3">
        <v>6.5003069577000003</v>
      </c>
      <c r="C175" s="3">
        <v>9.27</v>
      </c>
      <c r="D175" s="3">
        <v>19.7</v>
      </c>
      <c r="E175" s="3">
        <v>30.927896963999999</v>
      </c>
      <c r="F175" s="3">
        <v>133071.04999999999</v>
      </c>
      <c r="G175" s="3">
        <v>14.9</v>
      </c>
    </row>
    <row r="176" spans="1:7" x14ac:dyDescent="0.35">
      <c r="A176" s="9">
        <v>45870</v>
      </c>
      <c r="B176" s="3">
        <v>6.8522032741999999</v>
      </c>
      <c r="C176" s="3">
        <v>9.65</v>
      </c>
      <c r="D176" s="3">
        <v>18.350000000000001</v>
      </c>
      <c r="E176" s="3">
        <v>30.807049177</v>
      </c>
      <c r="F176" s="3">
        <v>132437.39000000001</v>
      </c>
      <c r="G176" s="3">
        <v>14.9</v>
      </c>
    </row>
    <row r="177" spans="1:7" x14ac:dyDescent="0.35">
      <c r="A177" s="9">
        <v>45873</v>
      </c>
      <c r="B177" s="3">
        <v>6.7740040928000003</v>
      </c>
      <c r="C177" s="3">
        <v>9.73</v>
      </c>
      <c r="D177" s="3">
        <v>18.72</v>
      </c>
      <c r="E177" s="3">
        <v>31.162629097</v>
      </c>
      <c r="F177" s="3">
        <v>132971.20000000001</v>
      </c>
      <c r="G177" s="3">
        <v>14.9</v>
      </c>
    </row>
    <row r="178" spans="1:7" x14ac:dyDescent="0.35">
      <c r="A178" s="9">
        <v>45874</v>
      </c>
      <c r="B178" s="3">
        <v>6.9401773533000002</v>
      </c>
      <c r="C178" s="3">
        <v>9.56</v>
      </c>
      <c r="D178" s="3">
        <v>18.62</v>
      </c>
      <c r="E178" s="3">
        <v>31.340419056999998</v>
      </c>
      <c r="F178" s="3">
        <v>133151.29999999999</v>
      </c>
      <c r="G178" s="3">
        <v>14.9</v>
      </c>
    </row>
    <row r="179" spans="1:7" x14ac:dyDescent="0.35">
      <c r="A179" s="9">
        <v>45875</v>
      </c>
      <c r="B179" s="3">
        <v>6.9695020463999997</v>
      </c>
      <c r="C179" s="3">
        <v>9.85</v>
      </c>
      <c r="D179" s="3">
        <v>18.7</v>
      </c>
      <c r="E179" s="3">
        <v>31.903420597</v>
      </c>
      <c r="F179" s="3">
        <v>134537.62</v>
      </c>
      <c r="G179" s="3">
        <v>14.9</v>
      </c>
    </row>
    <row r="180" spans="1:7" x14ac:dyDescent="0.35">
      <c r="A180" s="9">
        <v>45876</v>
      </c>
      <c r="B180" s="3">
        <v>7.0379263301000003</v>
      </c>
      <c r="C180" s="3">
        <v>9.92</v>
      </c>
      <c r="D180" s="3">
        <v>18.91</v>
      </c>
      <c r="E180" s="3">
        <v>32.318263837000003</v>
      </c>
      <c r="F180" s="3">
        <v>136527.60999999999</v>
      </c>
      <c r="G180" s="3">
        <v>14.9</v>
      </c>
    </row>
    <row r="181" spans="1:7" x14ac:dyDescent="0.35">
      <c r="A181" s="9">
        <v>45877</v>
      </c>
      <c r="B181" s="3">
        <v>6.9108526602999998</v>
      </c>
      <c r="C181" s="3">
        <v>9.74</v>
      </c>
      <c r="D181" s="3">
        <v>18.93</v>
      </c>
      <c r="E181" s="3">
        <v>32.644212097</v>
      </c>
      <c r="F181" s="3">
        <v>135913.25</v>
      </c>
      <c r="G181" s="3">
        <v>14.9</v>
      </c>
    </row>
    <row r="182" spans="1:7" x14ac:dyDescent="0.35">
      <c r="A182" s="9">
        <v>45880</v>
      </c>
      <c r="B182" s="3">
        <v>6.8424283765</v>
      </c>
      <c r="C182" s="3">
        <v>9.6</v>
      </c>
      <c r="D182" s="3">
        <v>19.100000000000001</v>
      </c>
      <c r="E182" s="3">
        <v>32.831879276999999</v>
      </c>
      <c r="F182" s="3">
        <v>135623.15</v>
      </c>
      <c r="G182" s="3">
        <v>14.9</v>
      </c>
    </row>
    <row r="183" spans="1:7" x14ac:dyDescent="0.35">
      <c r="A183" s="9">
        <v>45881</v>
      </c>
      <c r="B183" s="3">
        <v>6.9988267394000001</v>
      </c>
      <c r="C183" s="3">
        <v>9.69</v>
      </c>
      <c r="D183" s="3">
        <v>19.239999999999998</v>
      </c>
      <c r="E183" s="3">
        <v>33.483775797</v>
      </c>
      <c r="F183" s="3">
        <v>137913.68</v>
      </c>
      <c r="G183" s="3">
        <v>14.9</v>
      </c>
    </row>
    <row r="184" spans="1:7" x14ac:dyDescent="0.35">
      <c r="A184" s="9">
        <v>45882</v>
      </c>
      <c r="B184" s="3">
        <v>6.9010777625999999</v>
      </c>
      <c r="C184" s="3">
        <v>9.64</v>
      </c>
      <c r="D184" s="3">
        <v>19.28</v>
      </c>
      <c r="E184" s="3">
        <v>33.325740277000001</v>
      </c>
      <c r="F184" s="3">
        <v>136687.32</v>
      </c>
      <c r="G184" s="3">
        <v>14.9</v>
      </c>
    </row>
    <row r="185" spans="1:7" x14ac:dyDescent="0.35">
      <c r="A185" s="9">
        <v>45883</v>
      </c>
      <c r="B185" s="3">
        <v>6.9206275579999996</v>
      </c>
      <c r="C185" s="3">
        <v>9.82</v>
      </c>
      <c r="D185" s="3">
        <v>19.850000000000001</v>
      </c>
      <c r="E185" s="3">
        <v>33.444266917</v>
      </c>
      <c r="F185" s="3">
        <v>136355.78</v>
      </c>
      <c r="G185" s="3">
        <v>14.9</v>
      </c>
    </row>
    <row r="186" spans="1:7" x14ac:dyDescent="0.35">
      <c r="A186" s="9">
        <v>45884</v>
      </c>
      <c r="B186" s="3">
        <v>6.9401773533000002</v>
      </c>
      <c r="C186" s="3">
        <v>9.9499999999999993</v>
      </c>
      <c r="D186" s="3">
        <v>20.65</v>
      </c>
      <c r="E186" s="3">
        <v>33.088686997000003</v>
      </c>
      <c r="F186" s="3">
        <v>136340.76999999999</v>
      </c>
      <c r="G186" s="3">
        <v>14.9</v>
      </c>
    </row>
    <row r="187" spans="1:7" x14ac:dyDescent="0.35">
      <c r="A187" s="9">
        <v>45887</v>
      </c>
      <c r="B187" s="3">
        <v>6.9988267394000001</v>
      </c>
      <c r="C187" s="3">
        <v>10.42</v>
      </c>
      <c r="D187" s="3">
        <v>21.07</v>
      </c>
      <c r="E187" s="3">
        <v>33.325740277000001</v>
      </c>
      <c r="F187" s="3">
        <v>137321.64000000001</v>
      </c>
      <c r="G187" s="3">
        <v>14.9</v>
      </c>
    </row>
    <row r="188" spans="1:7" x14ac:dyDescent="0.35">
      <c r="A188" s="9">
        <v>45888</v>
      </c>
      <c r="B188" s="3">
        <v>6.8522032741999999</v>
      </c>
      <c r="C188" s="3">
        <v>10.36</v>
      </c>
      <c r="D188" s="3">
        <v>19.8</v>
      </c>
      <c r="E188" s="3">
        <v>32.410537005000002</v>
      </c>
      <c r="F188" s="3">
        <v>134432.26</v>
      </c>
      <c r="G188" s="3">
        <v>14.9</v>
      </c>
    </row>
    <row r="189" spans="1:7" x14ac:dyDescent="0.35">
      <c r="A189" s="9">
        <v>45889</v>
      </c>
      <c r="B189" s="3">
        <v>6.9206275579999996</v>
      </c>
      <c r="C189" s="3">
        <v>10.78</v>
      </c>
      <c r="D189" s="3">
        <v>19.86</v>
      </c>
      <c r="E189" s="3">
        <v>32.540338908999999</v>
      </c>
      <c r="F189" s="3">
        <v>134666.46</v>
      </c>
      <c r="G189" s="3">
        <v>14.9</v>
      </c>
    </row>
    <row r="190" spans="1:7" x14ac:dyDescent="0.35">
      <c r="A190" s="9">
        <v>45890</v>
      </c>
      <c r="B190" s="3">
        <v>6.9206275579999996</v>
      </c>
      <c r="C190" s="3">
        <v>10.5</v>
      </c>
      <c r="D190" s="3">
        <v>19.690000000000001</v>
      </c>
      <c r="E190" s="3">
        <v>32.590262717999998</v>
      </c>
      <c r="F190" s="3">
        <v>134510.85</v>
      </c>
      <c r="G190" s="3">
        <v>14.9</v>
      </c>
    </row>
    <row r="191" spans="1:7" x14ac:dyDescent="0.35">
      <c r="A191" s="9">
        <v>45891</v>
      </c>
      <c r="B191" s="3">
        <v>7.1454502046000004</v>
      </c>
      <c r="C191" s="3">
        <v>10.53</v>
      </c>
      <c r="D191" s="3">
        <v>20.5</v>
      </c>
      <c r="E191" s="3">
        <v>33.299180810999999</v>
      </c>
      <c r="F191" s="3">
        <v>137968.15</v>
      </c>
      <c r="G191" s="3">
        <v>14.9</v>
      </c>
    </row>
    <row r="192" spans="1:7" x14ac:dyDescent="0.35">
      <c r="A192" s="9">
        <v>45894</v>
      </c>
      <c r="B192" s="3">
        <v>7.1356753069999996</v>
      </c>
      <c r="C192" s="3">
        <v>10.72</v>
      </c>
      <c r="D192" s="3">
        <v>20.05</v>
      </c>
      <c r="E192" s="3">
        <v>33.069531288</v>
      </c>
      <c r="F192" s="3">
        <v>138025.17000000001</v>
      </c>
      <c r="G192" s="3">
        <v>14.9</v>
      </c>
    </row>
    <row r="193" spans="1:7" x14ac:dyDescent="0.35">
      <c r="A193" s="9">
        <v>45895</v>
      </c>
      <c r="B193" s="3">
        <v>7.165</v>
      </c>
      <c r="C193" s="3">
        <v>10.83</v>
      </c>
      <c r="D193" s="3">
        <v>20.38</v>
      </c>
      <c r="E193" s="3">
        <v>32.859851288999998</v>
      </c>
      <c r="F193" s="3">
        <v>137771.39000000001</v>
      </c>
      <c r="G193" s="3">
        <v>14.9</v>
      </c>
    </row>
    <row r="194" spans="1:7" x14ac:dyDescent="0.35">
      <c r="A194" s="9">
        <v>45896</v>
      </c>
      <c r="B194" s="3">
        <v>7.31</v>
      </c>
      <c r="C194" s="3">
        <v>10.65</v>
      </c>
      <c r="D194" s="3">
        <v>20.63</v>
      </c>
      <c r="E194" s="3">
        <v>33.329135096000002</v>
      </c>
      <c r="F194" s="3">
        <v>139205.81</v>
      </c>
      <c r="G194" s="3">
        <v>14.9</v>
      </c>
    </row>
    <row r="195" spans="1:7" x14ac:dyDescent="0.35">
      <c r="A195" s="9">
        <v>45897</v>
      </c>
      <c r="B195" s="3">
        <v>7.36</v>
      </c>
      <c r="C195" s="3">
        <v>10.69</v>
      </c>
      <c r="D195" s="3">
        <v>21.05</v>
      </c>
      <c r="E195" s="3">
        <v>33.958175093000001</v>
      </c>
      <c r="F195" s="3">
        <v>141049.20000000001</v>
      </c>
      <c r="G195" s="3">
        <v>14.9</v>
      </c>
    </row>
    <row r="196" spans="1:7" x14ac:dyDescent="0.35">
      <c r="A196" s="9">
        <v>45898</v>
      </c>
      <c r="B196" s="3">
        <v>7.4</v>
      </c>
      <c r="C196" s="3">
        <v>10.86</v>
      </c>
      <c r="D196" s="3">
        <v>21.39</v>
      </c>
      <c r="E196" s="3">
        <v>34.357565567999998</v>
      </c>
      <c r="F196" s="3">
        <v>141422.26</v>
      </c>
      <c r="G196" s="3">
        <v>14.9</v>
      </c>
    </row>
    <row r="197" spans="1:7" x14ac:dyDescent="0.35">
      <c r="A197" s="9">
        <v>45901</v>
      </c>
      <c r="B197" s="3">
        <v>7.42</v>
      </c>
      <c r="C197" s="3">
        <v>10.53</v>
      </c>
      <c r="D197" s="3">
        <v>21.09</v>
      </c>
      <c r="E197" s="3">
        <v>34.555015664999999</v>
      </c>
      <c r="F197" s="3">
        <v>141283.01</v>
      </c>
      <c r="G197" s="3">
        <v>14.9</v>
      </c>
    </row>
    <row r="198" spans="1:7" x14ac:dyDescent="0.35">
      <c r="A198" s="9">
        <v>45902</v>
      </c>
      <c r="B198" s="3">
        <v>7.43</v>
      </c>
      <c r="C198" s="3">
        <v>10.119999999999999</v>
      </c>
      <c r="D198" s="3">
        <v>20.420000000000002</v>
      </c>
      <c r="E198" s="3">
        <v>34.055521364999997</v>
      </c>
      <c r="F198" s="3">
        <v>140335.16</v>
      </c>
      <c r="G198" s="3">
        <v>14.9</v>
      </c>
    </row>
    <row r="199" spans="1:7" x14ac:dyDescent="0.35">
      <c r="A199" s="9">
        <v>45903</v>
      </c>
      <c r="B199" s="3">
        <v>7.47</v>
      </c>
      <c r="C199" s="3">
        <v>10.119999999999999</v>
      </c>
      <c r="D199" s="3">
        <v>20.28</v>
      </c>
      <c r="E199" s="3">
        <v>33.685895582999997</v>
      </c>
      <c r="F199" s="3">
        <v>139863.63</v>
      </c>
      <c r="G199" s="3">
        <v>14.9</v>
      </c>
    </row>
    <row r="200" spans="1:7" x14ac:dyDescent="0.35">
      <c r="A200" s="9">
        <v>45904</v>
      </c>
      <c r="B200" s="3">
        <v>7.4</v>
      </c>
      <c r="C200" s="3">
        <v>10.42</v>
      </c>
      <c r="D200" s="3">
        <v>20.420000000000002</v>
      </c>
      <c r="E200" s="3">
        <v>33.965612391000001</v>
      </c>
      <c r="F200" s="3">
        <v>140993.25</v>
      </c>
      <c r="G200" s="3">
        <v>14.9</v>
      </c>
    </row>
    <row r="201" spans="1:7" x14ac:dyDescent="0.35">
      <c r="A201" s="9">
        <v>45905</v>
      </c>
      <c r="B201" s="3">
        <v>7.53</v>
      </c>
      <c r="C201" s="3">
        <v>10.78</v>
      </c>
      <c r="D201" s="3">
        <v>21.15</v>
      </c>
      <c r="E201" s="3">
        <v>34.415157260999997</v>
      </c>
      <c r="F201" s="3">
        <v>142640.14000000001</v>
      </c>
      <c r="G201" s="3">
        <v>14.9</v>
      </c>
    </row>
    <row r="202" spans="1:7" x14ac:dyDescent="0.35">
      <c r="A202" s="9">
        <v>45908</v>
      </c>
      <c r="B202" s="3">
        <v>7.5</v>
      </c>
      <c r="C202" s="3">
        <v>10.8</v>
      </c>
      <c r="D202" s="3">
        <v>20.95</v>
      </c>
      <c r="E202" s="3">
        <v>34.165410111</v>
      </c>
      <c r="F202" s="3">
        <v>141791.57999999999</v>
      </c>
      <c r="G202" s="3">
        <v>14.9</v>
      </c>
    </row>
    <row r="203" spans="1:7" x14ac:dyDescent="0.35">
      <c r="A203" s="9">
        <v>45909</v>
      </c>
      <c r="B203" s="3">
        <v>7.62</v>
      </c>
      <c r="C203" s="3">
        <v>10.65</v>
      </c>
      <c r="D203" s="3">
        <v>21.4</v>
      </c>
      <c r="E203" s="3">
        <v>33.785794443</v>
      </c>
      <c r="F203" s="3">
        <v>141618.29</v>
      </c>
      <c r="G203" s="3">
        <v>14.9</v>
      </c>
    </row>
    <row r="204" spans="1:7" x14ac:dyDescent="0.35">
      <c r="A204" s="9">
        <v>45910</v>
      </c>
      <c r="B204" s="3">
        <v>7.71</v>
      </c>
      <c r="C204" s="3">
        <v>10.52</v>
      </c>
      <c r="D204" s="3">
        <v>22.05</v>
      </c>
      <c r="E204" s="3">
        <v>33.775804557000001</v>
      </c>
      <c r="F204" s="3">
        <v>142348.70000000001</v>
      </c>
      <c r="G204" s="3">
        <v>14.9</v>
      </c>
    </row>
    <row r="205" spans="1:7" x14ac:dyDescent="0.35">
      <c r="A205" s="9">
        <v>45911</v>
      </c>
      <c r="B205" s="3">
        <v>7.8</v>
      </c>
      <c r="C205" s="3">
        <v>10.65</v>
      </c>
      <c r="D205" s="3">
        <v>22.22</v>
      </c>
      <c r="E205" s="3">
        <v>33.815764100999999</v>
      </c>
      <c r="F205" s="3">
        <v>143150.84</v>
      </c>
      <c r="G205" s="3">
        <v>14.9</v>
      </c>
    </row>
    <row r="206" spans="1:7" x14ac:dyDescent="0.35">
      <c r="A206" s="9">
        <v>45912</v>
      </c>
      <c r="B206" s="3">
        <v>7.91</v>
      </c>
      <c r="C206" s="3">
        <v>10.71</v>
      </c>
      <c r="D206" s="3">
        <v>22.31</v>
      </c>
      <c r="E206" s="3">
        <v>33.526057407000003</v>
      </c>
      <c r="F206" s="3">
        <v>142271.57999999999</v>
      </c>
      <c r="G206" s="3">
        <v>14.9</v>
      </c>
    </row>
    <row r="207" spans="1:7" x14ac:dyDescent="0.35">
      <c r="A207" s="9">
        <v>45915</v>
      </c>
      <c r="B207" s="3">
        <v>8.01</v>
      </c>
      <c r="C207" s="3">
        <v>11.01</v>
      </c>
      <c r="D207" s="3">
        <v>21.82</v>
      </c>
      <c r="E207" s="3">
        <v>33.745834899000002</v>
      </c>
      <c r="F207" s="3">
        <v>143546.57999999999</v>
      </c>
      <c r="G207" s="3">
        <v>14.9</v>
      </c>
    </row>
    <row r="208" spans="1:7" x14ac:dyDescent="0.35">
      <c r="A208" s="9">
        <v>45916</v>
      </c>
      <c r="B208" s="3">
        <v>8.0500000000000007</v>
      </c>
      <c r="C208" s="3">
        <v>10.96</v>
      </c>
      <c r="D208" s="3">
        <v>21.94</v>
      </c>
      <c r="E208" s="3">
        <v>33.585996723000001</v>
      </c>
      <c r="F208" s="3">
        <v>144061.74</v>
      </c>
      <c r="G208" s="3">
        <v>14.9</v>
      </c>
    </row>
    <row r="209" spans="1:7" x14ac:dyDescent="0.35">
      <c r="A209" s="9">
        <v>45917</v>
      </c>
      <c r="B209" s="3">
        <v>8.23</v>
      </c>
      <c r="C209" s="3">
        <v>11.06</v>
      </c>
      <c r="D209" s="3">
        <v>21.87</v>
      </c>
      <c r="E209" s="3">
        <v>34.315258401000001</v>
      </c>
      <c r="F209" s="3">
        <v>145593.63</v>
      </c>
      <c r="G209" s="3">
        <v>14.9</v>
      </c>
    </row>
    <row r="210" spans="1:7" x14ac:dyDescent="0.35">
      <c r="A210" s="9">
        <v>45918</v>
      </c>
      <c r="B210" s="3">
        <v>8.41</v>
      </c>
      <c r="C210" s="3">
        <v>10.77</v>
      </c>
      <c r="D210" s="3">
        <v>22.1</v>
      </c>
      <c r="E210" s="3">
        <v>34.155420225</v>
      </c>
      <c r="F210" s="3">
        <v>145499.49</v>
      </c>
      <c r="G210" s="3">
        <v>14.9</v>
      </c>
    </row>
    <row r="211" spans="1:7" x14ac:dyDescent="0.35">
      <c r="A211" s="9">
        <v>45919</v>
      </c>
      <c r="B211" s="3">
        <v>8.11</v>
      </c>
      <c r="C211" s="3">
        <v>10.7</v>
      </c>
      <c r="D211" s="3">
        <v>21.62</v>
      </c>
      <c r="E211" s="3">
        <v>34.515056121000001</v>
      </c>
      <c r="F211" s="3">
        <v>145865.10999999999</v>
      </c>
      <c r="G211" s="3">
        <v>14.9</v>
      </c>
    </row>
    <row r="212" spans="1:7" x14ac:dyDescent="0.35">
      <c r="A212" s="9">
        <v>45922</v>
      </c>
      <c r="B212" s="3">
        <v>8</v>
      </c>
      <c r="C212" s="3">
        <v>10.57</v>
      </c>
      <c r="D212" s="3">
        <v>21.51</v>
      </c>
      <c r="E212" s="3">
        <v>34.095480909000003</v>
      </c>
      <c r="F212" s="3">
        <v>145109.25</v>
      </c>
      <c r="G212" s="3">
        <v>14.9</v>
      </c>
    </row>
    <row r="213" spans="1:7" x14ac:dyDescent="0.35">
      <c r="A213" s="9">
        <v>45923</v>
      </c>
      <c r="B213" s="3">
        <v>8.08</v>
      </c>
      <c r="C213" s="3">
        <v>10.64</v>
      </c>
      <c r="D213" s="3">
        <v>22.13</v>
      </c>
      <c r="E213" s="3">
        <v>34.505066235000001</v>
      </c>
      <c r="F213" s="3">
        <v>146424.94</v>
      </c>
      <c r="G213" s="3">
        <v>14.9</v>
      </c>
    </row>
    <row r="214" spans="1:7" x14ac:dyDescent="0.35">
      <c r="A214" s="9">
        <v>45924</v>
      </c>
      <c r="B214" s="3">
        <v>8.1199999999999992</v>
      </c>
      <c r="C214" s="3">
        <v>10.63</v>
      </c>
      <c r="D214" s="3">
        <v>22.11</v>
      </c>
      <c r="E214" s="3">
        <v>34.415157260999997</v>
      </c>
      <c r="F214" s="3">
        <v>146491.75</v>
      </c>
      <c r="G214" s="3">
        <v>14.9</v>
      </c>
    </row>
    <row r="215" spans="1:7" x14ac:dyDescent="0.35">
      <c r="A215" s="9">
        <v>45925</v>
      </c>
      <c r="B215" s="3">
        <v>7.78</v>
      </c>
      <c r="C215" s="3">
        <v>10.4</v>
      </c>
      <c r="D215" s="3">
        <v>21.79</v>
      </c>
      <c r="E215" s="3">
        <v>34.105470795000002</v>
      </c>
      <c r="F215" s="3">
        <v>145306.23000000001</v>
      </c>
      <c r="G215" s="3">
        <v>14.9</v>
      </c>
    </row>
    <row r="216" spans="1:7" x14ac:dyDescent="0.35">
      <c r="A216" s="9">
        <v>45926</v>
      </c>
      <c r="B216" s="3">
        <v>7.69</v>
      </c>
      <c r="C216" s="3">
        <v>10.37</v>
      </c>
      <c r="D216" s="3">
        <v>22.11</v>
      </c>
      <c r="E216" s="3">
        <v>34.235339312999997</v>
      </c>
      <c r="F216" s="3">
        <v>145446.66</v>
      </c>
      <c r="G216" s="3">
        <v>14.9</v>
      </c>
    </row>
    <row r="217" spans="1:7" x14ac:dyDescent="0.35">
      <c r="A217" s="9">
        <v>45929</v>
      </c>
      <c r="B217" s="3">
        <v>7.59</v>
      </c>
      <c r="C217" s="3">
        <v>10.32</v>
      </c>
      <c r="D217" s="3">
        <v>22.12</v>
      </c>
      <c r="E217" s="3">
        <v>34.425147146999997</v>
      </c>
      <c r="F217" s="3">
        <v>146336.79999999999</v>
      </c>
      <c r="G217" s="3">
        <v>14.9</v>
      </c>
    </row>
    <row r="218" spans="1:7" x14ac:dyDescent="0.35">
      <c r="A218" s="9">
        <v>45930</v>
      </c>
      <c r="B218" s="3">
        <v>7.51</v>
      </c>
      <c r="C218" s="3">
        <v>10.27</v>
      </c>
      <c r="D218" s="3">
        <v>22.09</v>
      </c>
      <c r="E218" s="3">
        <v>34.614954980999997</v>
      </c>
      <c r="F218" s="3">
        <v>146237.01999999999</v>
      </c>
      <c r="G218" s="3">
        <v>14.9</v>
      </c>
    </row>
    <row r="219" spans="1:7" x14ac:dyDescent="0.35">
      <c r="A219" s="9">
        <v>45931</v>
      </c>
      <c r="B219" s="3">
        <v>7.26</v>
      </c>
      <c r="C219" s="3">
        <v>10.08</v>
      </c>
      <c r="D219" s="3">
        <v>21.93</v>
      </c>
      <c r="E219" s="3">
        <v>33.952937663999997</v>
      </c>
      <c r="F219" s="3">
        <v>145517.35</v>
      </c>
      <c r="G219" s="3">
        <v>14.9</v>
      </c>
    </row>
    <row r="220" spans="1:7" x14ac:dyDescent="0.35">
      <c r="A220" s="9">
        <v>45932</v>
      </c>
      <c r="B220" s="3">
        <v>7.38</v>
      </c>
      <c r="C220" s="3">
        <v>10.09</v>
      </c>
      <c r="D220" s="3">
        <v>21.76</v>
      </c>
      <c r="E220" s="3">
        <v>33.623103415000003</v>
      </c>
      <c r="F220" s="3">
        <v>143949.64000000001</v>
      </c>
      <c r="G220" s="3">
        <v>14.9</v>
      </c>
    </row>
    <row r="221" spans="1:7" x14ac:dyDescent="0.35">
      <c r="A221" s="9">
        <v>45933</v>
      </c>
      <c r="B221" s="3">
        <v>7.59</v>
      </c>
      <c r="C221" s="3">
        <v>10.37</v>
      </c>
      <c r="D221" s="3">
        <v>21.58</v>
      </c>
      <c r="E221" s="3">
        <v>33.862982869</v>
      </c>
      <c r="F221" s="3">
        <v>144200.65</v>
      </c>
      <c r="G221" s="3">
        <v>14.9</v>
      </c>
    </row>
    <row r="222" spans="1:7" x14ac:dyDescent="0.35">
      <c r="A222" s="9">
        <v>45936</v>
      </c>
      <c r="B222" s="3">
        <v>7.54</v>
      </c>
      <c r="C222" s="3">
        <v>10.42</v>
      </c>
      <c r="D222" s="3">
        <v>21.41</v>
      </c>
      <c r="E222" s="3">
        <v>33.483173733999998</v>
      </c>
      <c r="F222" s="3">
        <v>143608.07999999999</v>
      </c>
      <c r="G222" s="3">
        <v>14.9</v>
      </c>
    </row>
    <row r="223" spans="1:7" x14ac:dyDescent="0.35">
      <c r="A223" s="9">
        <v>45937</v>
      </c>
      <c r="B223" s="3">
        <v>7.38</v>
      </c>
      <c r="C223" s="3">
        <v>10.14</v>
      </c>
      <c r="D223" s="3">
        <v>21.21</v>
      </c>
      <c r="E223" s="3">
        <v>32.853490168</v>
      </c>
      <c r="F223" s="3">
        <v>141356.43</v>
      </c>
      <c r="G223" s="3">
        <v>14.9</v>
      </c>
    </row>
    <row r="224" spans="1:7" x14ac:dyDescent="0.35">
      <c r="A224" s="9">
        <v>45938</v>
      </c>
      <c r="B224" s="3">
        <v>7.3</v>
      </c>
      <c r="C224" s="3">
        <v>10.37</v>
      </c>
      <c r="D224" s="3">
        <v>21.12</v>
      </c>
      <c r="E224" s="3">
        <v>33.023404781000004</v>
      </c>
      <c r="F224" s="3">
        <v>142145.38</v>
      </c>
      <c r="G224" s="3">
        <v>14.9</v>
      </c>
    </row>
    <row r="225" spans="1:7" x14ac:dyDescent="0.35">
      <c r="A225" s="9">
        <v>45939</v>
      </c>
      <c r="B225" s="3">
        <v>7.22</v>
      </c>
      <c r="C225" s="3">
        <v>10.73</v>
      </c>
      <c r="D225" s="3">
        <v>21.19</v>
      </c>
      <c r="E225" s="3">
        <v>33.073379666999998</v>
      </c>
      <c r="F225" s="3">
        <v>141708.19</v>
      </c>
      <c r="G225" s="3">
        <v>14.9</v>
      </c>
    </row>
    <row r="226" spans="1:7" x14ac:dyDescent="0.35">
      <c r="A226" s="9">
        <v>45940</v>
      </c>
      <c r="B226" s="3">
        <v>7.21</v>
      </c>
      <c r="C226" s="3">
        <v>10.65</v>
      </c>
      <c r="D226" s="3">
        <v>20.61</v>
      </c>
      <c r="E226" s="3">
        <v>33.053389713000001</v>
      </c>
      <c r="F226" s="3">
        <v>140680.34</v>
      </c>
      <c r="G226" s="3">
        <v>14.9</v>
      </c>
    </row>
    <row r="227" spans="1:7" x14ac:dyDescent="0.35">
      <c r="A227" s="9">
        <v>45943</v>
      </c>
      <c r="B227" s="3">
        <v>7.31</v>
      </c>
      <c r="C227" s="3">
        <v>10.74</v>
      </c>
      <c r="D227" s="3">
        <v>20.88</v>
      </c>
      <c r="E227" s="3">
        <v>33.293269166000002</v>
      </c>
      <c r="F227" s="3">
        <v>141783.35999999999</v>
      </c>
      <c r="G227" s="3">
        <v>14.9</v>
      </c>
    </row>
    <row r="228" spans="1:7" x14ac:dyDescent="0.35">
      <c r="A228" s="9">
        <v>45944</v>
      </c>
      <c r="B228" s="3">
        <v>7.19</v>
      </c>
      <c r="C228" s="3">
        <v>10.46</v>
      </c>
      <c r="D228" s="3">
        <v>20.7</v>
      </c>
      <c r="E228" s="3">
        <v>33.233299303000003</v>
      </c>
      <c r="F228" s="3">
        <v>141682.99</v>
      </c>
      <c r="G228" s="3">
        <v>14.9</v>
      </c>
    </row>
    <row r="229" spans="1:7" x14ac:dyDescent="0.35">
      <c r="A229" s="9">
        <v>45945</v>
      </c>
      <c r="B229" s="3">
        <v>7.21</v>
      </c>
      <c r="C229" s="3">
        <v>10.55</v>
      </c>
      <c r="D229" s="3">
        <v>20.32</v>
      </c>
      <c r="E229" s="3">
        <v>33.133349529999997</v>
      </c>
      <c r="F229" s="3">
        <v>142603.66</v>
      </c>
      <c r="G229" s="3">
        <v>14.9</v>
      </c>
    </row>
    <row r="230" spans="1:7" x14ac:dyDescent="0.35">
      <c r="A230" s="9">
        <v>45946</v>
      </c>
      <c r="B230" s="3">
        <v>7.3</v>
      </c>
      <c r="C230" s="3">
        <v>10.76</v>
      </c>
      <c r="D230" s="3">
        <v>20.37</v>
      </c>
      <c r="E230" s="3">
        <v>33.173329439</v>
      </c>
      <c r="F230" s="3">
        <v>142200.01999999999</v>
      </c>
      <c r="G230" s="3">
        <v>14.9</v>
      </c>
    </row>
    <row r="231" spans="1:7" x14ac:dyDescent="0.35">
      <c r="A231" s="9">
        <v>45947</v>
      </c>
      <c r="B231" s="3">
        <v>7.21</v>
      </c>
      <c r="C231" s="3">
        <v>10.93</v>
      </c>
      <c r="D231" s="3">
        <v>20.9</v>
      </c>
      <c r="E231" s="3">
        <v>33.293269166000002</v>
      </c>
      <c r="F231" s="3">
        <v>143398.63</v>
      </c>
      <c r="G231" s="3">
        <v>14.9</v>
      </c>
    </row>
    <row r="232" spans="1:7" x14ac:dyDescent="0.35">
      <c r="A232" s="9">
        <v>45950</v>
      </c>
      <c r="B232" s="3">
        <v>7.34</v>
      </c>
      <c r="C232" s="3">
        <v>10.8</v>
      </c>
      <c r="D232" s="3">
        <v>20.77</v>
      </c>
      <c r="E232" s="3">
        <v>33.753038119000003</v>
      </c>
      <c r="F232" s="3">
        <v>144509.32</v>
      </c>
      <c r="G232" s="3">
        <v>14.9</v>
      </c>
    </row>
    <row r="233" spans="1:7" x14ac:dyDescent="0.35">
      <c r="A233" s="9">
        <v>45951</v>
      </c>
      <c r="B233" s="3">
        <v>7.55</v>
      </c>
      <c r="C233" s="3">
        <v>11</v>
      </c>
      <c r="D233" s="3">
        <v>20.54</v>
      </c>
      <c r="E233" s="3">
        <v>33.613108437999998</v>
      </c>
      <c r="F233" s="3">
        <v>144085.15</v>
      </c>
      <c r="G233" s="3">
        <v>14.9</v>
      </c>
    </row>
    <row r="234" spans="1:7" x14ac:dyDescent="0.35">
      <c r="A234" s="9">
        <v>45952</v>
      </c>
      <c r="B234" s="3">
        <v>7.33</v>
      </c>
      <c r="C234" s="3">
        <v>11.42</v>
      </c>
      <c r="D234" s="3">
        <v>20.69</v>
      </c>
      <c r="E234" s="3">
        <v>33.902962776999999</v>
      </c>
      <c r="F234" s="3">
        <v>144872.79</v>
      </c>
      <c r="G234" s="3">
        <v>14.9</v>
      </c>
    </row>
    <row r="235" spans="1:7" x14ac:dyDescent="0.35">
      <c r="A235" s="9">
        <v>45953</v>
      </c>
      <c r="B235" s="3">
        <v>7.5</v>
      </c>
      <c r="C235" s="3">
        <v>11.65</v>
      </c>
      <c r="D235" s="3">
        <v>20.65</v>
      </c>
      <c r="E235" s="3">
        <v>34.012907527000003</v>
      </c>
      <c r="F235" s="3">
        <v>145720.98000000001</v>
      </c>
      <c r="G235" s="3">
        <v>14.9</v>
      </c>
    </row>
    <row r="236" spans="1:7" x14ac:dyDescent="0.35">
      <c r="A236" s="9">
        <v>45954</v>
      </c>
      <c r="B236" s="3">
        <v>7.51</v>
      </c>
      <c r="C236" s="3">
        <v>11.45</v>
      </c>
      <c r="D236" s="3">
        <v>20.52</v>
      </c>
      <c r="E236" s="3">
        <v>33.952937663999997</v>
      </c>
      <c r="F236" s="3">
        <v>146172.21</v>
      </c>
      <c r="G236" s="3">
        <v>14.9</v>
      </c>
    </row>
    <row r="237" spans="1:7" x14ac:dyDescent="0.35">
      <c r="A237" s="9">
        <v>45957</v>
      </c>
      <c r="B237" s="3">
        <v>7.56</v>
      </c>
      <c r="C237" s="3">
        <v>11.77</v>
      </c>
      <c r="D237" s="3">
        <v>20.85</v>
      </c>
      <c r="E237" s="3">
        <v>34.252786981</v>
      </c>
      <c r="F237" s="3">
        <v>146969.1</v>
      </c>
      <c r="G237" s="3">
        <v>14.9</v>
      </c>
    </row>
    <row r="238" spans="1:7" x14ac:dyDescent="0.35">
      <c r="A238" s="9">
        <v>45958</v>
      </c>
      <c r="B238" s="3">
        <v>7.61</v>
      </c>
      <c r="C238" s="3">
        <v>11.05</v>
      </c>
      <c r="D238" s="3">
        <v>20.96</v>
      </c>
      <c r="E238" s="3">
        <v>34.372726706999998</v>
      </c>
      <c r="F238" s="3">
        <v>147428.9</v>
      </c>
      <c r="G238" s="3">
        <v>14.9</v>
      </c>
    </row>
    <row r="239" spans="1:7" x14ac:dyDescent="0.35">
      <c r="A239" s="9">
        <v>45959</v>
      </c>
      <c r="B239" s="3">
        <v>7.55</v>
      </c>
      <c r="C239" s="3">
        <v>10.72</v>
      </c>
      <c r="D239" s="3">
        <v>21.22</v>
      </c>
      <c r="E239" s="3">
        <v>35.162329909</v>
      </c>
      <c r="F239" s="3">
        <v>148632.93</v>
      </c>
      <c r="G239" s="3">
        <v>14.9</v>
      </c>
    </row>
    <row r="240" spans="1:7" x14ac:dyDescent="0.35">
      <c r="A240" s="9">
        <v>45960</v>
      </c>
      <c r="B240" s="3">
        <v>7.62</v>
      </c>
      <c r="C240" s="3">
        <v>10.63</v>
      </c>
      <c r="D240" s="3">
        <v>21.63</v>
      </c>
      <c r="E240" s="3">
        <v>35.052385159000004</v>
      </c>
      <c r="F240" s="3">
        <v>148780.22</v>
      </c>
      <c r="G240" s="3">
        <v>14.9</v>
      </c>
    </row>
    <row r="241" spans="1:7" x14ac:dyDescent="0.35">
      <c r="A241" s="9">
        <v>45961</v>
      </c>
      <c r="B241" s="3">
        <v>6.82</v>
      </c>
      <c r="C241" s="3">
        <v>10.99</v>
      </c>
      <c r="D241" s="3">
        <v>21.9</v>
      </c>
      <c r="E241" s="3">
        <v>35.122349999999997</v>
      </c>
      <c r="F241" s="3">
        <v>149540.43</v>
      </c>
      <c r="G241" s="3">
        <v>14.9</v>
      </c>
    </row>
    <row r="242" spans="1:7" x14ac:dyDescent="0.35">
      <c r="A242" s="9">
        <v>45964</v>
      </c>
      <c r="B242" s="3">
        <v>6.47</v>
      </c>
      <c r="C242" s="3">
        <v>10.83</v>
      </c>
      <c r="D242" s="3">
        <v>22.08</v>
      </c>
      <c r="E242" s="3">
        <v>35.659999999999997</v>
      </c>
      <c r="F242" s="3">
        <v>150454.24</v>
      </c>
      <c r="G242" s="3">
        <v>14.9</v>
      </c>
    </row>
    <row r="243" spans="1:7" x14ac:dyDescent="0.35">
      <c r="A243" s="9">
        <v>45965</v>
      </c>
      <c r="B243" s="3">
        <v>6.55</v>
      </c>
      <c r="C243" s="3">
        <v>11.11</v>
      </c>
      <c r="D243" s="3">
        <v>22.27</v>
      </c>
      <c r="E243" s="3">
        <v>35.51</v>
      </c>
      <c r="F243" s="3">
        <v>150704.20000000001</v>
      </c>
      <c r="G243" s="3">
        <v>14.9</v>
      </c>
    </row>
    <row r="244" spans="1:7" x14ac:dyDescent="0.35">
      <c r="A244" s="9">
        <v>45966</v>
      </c>
      <c r="B244" s="3">
        <v>6.58</v>
      </c>
      <c r="C244" s="3">
        <v>11.6</v>
      </c>
      <c r="D244" s="3">
        <v>22.61</v>
      </c>
      <c r="E244" s="3">
        <v>35.75</v>
      </c>
      <c r="F244" s="3">
        <v>153294.44</v>
      </c>
      <c r="G244" s="3">
        <v>14.9</v>
      </c>
    </row>
    <row r="245" spans="1:7" x14ac:dyDescent="0.35">
      <c r="A245" s="9">
        <v>45967</v>
      </c>
      <c r="B245" s="3">
        <v>6.38</v>
      </c>
      <c r="C245" s="3">
        <v>11.67</v>
      </c>
      <c r="D245" s="3">
        <v>22.86</v>
      </c>
      <c r="E245" s="3">
        <v>35.799999999999997</v>
      </c>
      <c r="F245" s="3">
        <v>153338.63</v>
      </c>
      <c r="G245" s="3">
        <v>14.9</v>
      </c>
    </row>
    <row r="246" spans="1:7" x14ac:dyDescent="0.35">
      <c r="A246" s="9">
        <v>45968</v>
      </c>
      <c r="B246" s="3">
        <v>6.37</v>
      </c>
      <c r="C246" s="3">
        <v>11.33</v>
      </c>
      <c r="D246" s="3">
        <v>22.89</v>
      </c>
      <c r="E246" s="3">
        <v>35.75</v>
      </c>
      <c r="F246" s="3">
        <v>154063.53</v>
      </c>
      <c r="G246" s="3">
        <v>14.9</v>
      </c>
    </row>
    <row r="247" spans="1:7" x14ac:dyDescent="0.35">
      <c r="A247" s="9">
        <v>45971</v>
      </c>
      <c r="B247" s="3">
        <v>6.57</v>
      </c>
      <c r="C247" s="3">
        <v>11.55</v>
      </c>
      <c r="D247" s="3">
        <v>22.78</v>
      </c>
      <c r="E247" s="3">
        <v>36.03</v>
      </c>
      <c r="F247" s="3">
        <v>155257.31</v>
      </c>
      <c r="G247" s="3">
        <v>14.9</v>
      </c>
    </row>
    <row r="248" spans="1:7" x14ac:dyDescent="0.35">
      <c r="A248" s="9">
        <v>45972</v>
      </c>
      <c r="B248" s="3">
        <v>6.5</v>
      </c>
      <c r="C248" s="3">
        <v>11.53</v>
      </c>
      <c r="D248" s="3">
        <v>23.47</v>
      </c>
      <c r="E248" s="3">
        <v>36.590000000000003</v>
      </c>
      <c r="F248" s="3">
        <v>157748.6</v>
      </c>
      <c r="G248" s="3">
        <v>14.9</v>
      </c>
    </row>
    <row r="249" spans="1:7" x14ac:dyDescent="0.35">
      <c r="A249" s="9">
        <v>45973</v>
      </c>
      <c r="B249" s="3">
        <v>6.38</v>
      </c>
      <c r="C249" s="3">
        <v>11.45</v>
      </c>
      <c r="D249" s="3">
        <v>22.8</v>
      </c>
      <c r="E249" s="3">
        <v>35.700000000000003</v>
      </c>
      <c r="F249" s="3">
        <v>157632.9</v>
      </c>
      <c r="G249" s="3">
        <v>14.9</v>
      </c>
    </row>
    <row r="250" spans="1:7" x14ac:dyDescent="0.35">
      <c r="A250" s="9">
        <v>45974</v>
      </c>
      <c r="B250" s="3">
        <v>6.39</v>
      </c>
      <c r="C250" s="3">
        <v>11.28</v>
      </c>
      <c r="D250" s="3">
        <v>22.5</v>
      </c>
      <c r="E250" s="3">
        <v>35.79</v>
      </c>
      <c r="F250" s="3">
        <v>157162.43</v>
      </c>
      <c r="G250" s="3">
        <v>14.9</v>
      </c>
    </row>
    <row r="251" spans="1:7" x14ac:dyDescent="0.35">
      <c r="A251" s="9">
        <v>45975</v>
      </c>
      <c r="B251" s="3">
        <v>6.46</v>
      </c>
      <c r="C251" s="3">
        <v>11.17</v>
      </c>
      <c r="D251" s="3">
        <v>22.44</v>
      </c>
      <c r="E251" s="3">
        <v>35.92</v>
      </c>
      <c r="F251" s="3">
        <v>157738.69</v>
      </c>
      <c r="G251" s="3">
        <v>14.9</v>
      </c>
    </row>
    <row r="252" spans="1:7" ht="15" thickBot="1" x14ac:dyDescent="0.4">
      <c r="A252" s="9">
        <v>45978</v>
      </c>
      <c r="B252" s="4">
        <v>6.33</v>
      </c>
      <c r="C252" s="4">
        <v>11.09</v>
      </c>
      <c r="D252" s="4">
        <v>22.5</v>
      </c>
      <c r="E252" s="4">
        <v>35.64</v>
      </c>
      <c r="F252" s="4">
        <v>156992.93</v>
      </c>
      <c r="G252" s="4">
        <v>14.9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6E154-235E-4A4A-BCC4-7F9E9E73BAF5}">
  <dimension ref="A1:D25"/>
  <sheetViews>
    <sheetView topLeftCell="A9" workbookViewId="0">
      <selection activeCell="H10" sqref="H10"/>
    </sheetView>
  </sheetViews>
  <sheetFormatPr defaultRowHeight="14.5" x14ac:dyDescent="0.35"/>
  <sheetData>
    <row r="1" spans="1:4" x14ac:dyDescent="0.35">
      <c r="A1" t="s">
        <v>318</v>
      </c>
    </row>
    <row r="2" spans="1:4" x14ac:dyDescent="0.35">
      <c r="A2" t="s">
        <v>319</v>
      </c>
    </row>
    <row r="3" spans="1:4" x14ac:dyDescent="0.35">
      <c r="A3" t="s">
        <v>324</v>
      </c>
    </row>
    <row r="6" spans="1:4" x14ac:dyDescent="0.35">
      <c r="A6" t="s">
        <v>347</v>
      </c>
    </row>
    <row r="7" spans="1:4" ht="15" thickBot="1" x14ac:dyDescent="0.4">
      <c r="A7" t="s">
        <v>337</v>
      </c>
      <c r="B7" t="s">
        <v>338</v>
      </c>
      <c r="C7" t="s">
        <v>339</v>
      </c>
      <c r="D7" t="s">
        <v>340</v>
      </c>
    </row>
    <row r="8" spans="1:4" ht="18.5" thickBot="1" x14ac:dyDescent="0.45">
      <c r="A8" s="36" t="s">
        <v>1</v>
      </c>
      <c r="B8" s="43" t="s">
        <v>3</v>
      </c>
    </row>
    <row r="9" spans="1:4" x14ac:dyDescent="0.35">
      <c r="A9" s="86">
        <v>0</v>
      </c>
      <c r="B9" s="86">
        <v>1</v>
      </c>
      <c r="C9" s="1">
        <f>A9*$B$259+B9*$B$261</f>
        <v>0</v>
      </c>
      <c r="D9">
        <f>SQRT(A9^2*$C$259^2+B9^2*$C$261^2+2*$C$259*$C$261*A9*B9*$P$274)</f>
        <v>0</v>
      </c>
    </row>
    <row r="10" spans="1:4" x14ac:dyDescent="0.35">
      <c r="A10" s="87">
        <v>0.1</v>
      </c>
      <c r="B10" s="87">
        <v>0.9</v>
      </c>
      <c r="C10" s="88">
        <f t="shared" ref="C10:C19" si="0">A10*$B$259+B10*$B$261</f>
        <v>0</v>
      </c>
      <c r="D10" s="64">
        <f t="shared" ref="D10:D19" si="1">SQRT(A10^2*$C$259^2+B10^2*$C$261^2+2*$C$259*$C$261*A10*B10*$P$274)</f>
        <v>0</v>
      </c>
    </row>
    <row r="11" spans="1:4" x14ac:dyDescent="0.35">
      <c r="A11" s="86">
        <v>0.2</v>
      </c>
      <c r="B11" s="86">
        <v>0.8</v>
      </c>
      <c r="C11" s="1">
        <f t="shared" si="0"/>
        <v>0</v>
      </c>
      <c r="D11">
        <f t="shared" si="1"/>
        <v>0</v>
      </c>
    </row>
    <row r="12" spans="1:4" x14ac:dyDescent="0.35">
      <c r="A12" s="86">
        <v>0.3</v>
      </c>
      <c r="B12" s="86">
        <v>0.7</v>
      </c>
      <c r="C12" s="1">
        <f t="shared" si="0"/>
        <v>0</v>
      </c>
      <c r="D12">
        <f t="shared" si="1"/>
        <v>0</v>
      </c>
    </row>
    <row r="13" spans="1:4" x14ac:dyDescent="0.35">
      <c r="A13" s="86">
        <v>0.4</v>
      </c>
      <c r="B13" s="86">
        <v>0.6</v>
      </c>
      <c r="C13" s="1">
        <f t="shared" si="0"/>
        <v>0</v>
      </c>
      <c r="D13">
        <f t="shared" si="1"/>
        <v>0</v>
      </c>
    </row>
    <row r="14" spans="1:4" x14ac:dyDescent="0.35">
      <c r="A14" s="86">
        <v>0.5</v>
      </c>
      <c r="B14" s="86">
        <v>0.5</v>
      </c>
      <c r="C14" s="1">
        <f t="shared" si="0"/>
        <v>0</v>
      </c>
      <c r="D14">
        <f t="shared" si="1"/>
        <v>0</v>
      </c>
    </row>
    <row r="15" spans="1:4" x14ac:dyDescent="0.35">
      <c r="A15" s="86">
        <v>0.6</v>
      </c>
      <c r="B15" s="86">
        <v>0.4</v>
      </c>
      <c r="C15" s="1">
        <f t="shared" si="0"/>
        <v>0</v>
      </c>
      <c r="D15">
        <f t="shared" si="1"/>
        <v>0</v>
      </c>
    </row>
    <row r="16" spans="1:4" x14ac:dyDescent="0.35">
      <c r="A16" s="86">
        <v>0.7</v>
      </c>
      <c r="B16" s="86">
        <v>0.3</v>
      </c>
      <c r="C16" s="1">
        <f t="shared" si="0"/>
        <v>0</v>
      </c>
      <c r="D16">
        <f t="shared" si="1"/>
        <v>0</v>
      </c>
    </row>
    <row r="17" spans="1:4" x14ac:dyDescent="0.35">
      <c r="A17" s="86">
        <v>0.8</v>
      </c>
      <c r="B17" s="86">
        <v>0.2</v>
      </c>
      <c r="C17" s="1">
        <f t="shared" si="0"/>
        <v>0</v>
      </c>
      <c r="D17">
        <f t="shared" si="1"/>
        <v>0</v>
      </c>
    </row>
    <row r="18" spans="1:4" x14ac:dyDescent="0.35">
      <c r="A18" s="86">
        <v>0.9</v>
      </c>
      <c r="B18" s="86">
        <v>0.1</v>
      </c>
      <c r="C18" s="1">
        <f t="shared" si="0"/>
        <v>0</v>
      </c>
      <c r="D18">
        <f t="shared" si="1"/>
        <v>0</v>
      </c>
    </row>
    <row r="19" spans="1:4" x14ac:dyDescent="0.35">
      <c r="A19" s="86">
        <v>1</v>
      </c>
      <c r="B19" s="86">
        <v>0</v>
      </c>
      <c r="C19" s="1">
        <f t="shared" si="0"/>
        <v>0</v>
      </c>
      <c r="D19">
        <f t="shared" si="1"/>
        <v>0</v>
      </c>
    </row>
    <row r="20" spans="1:4" x14ac:dyDescent="0.35">
      <c r="A20" s="86"/>
    </row>
    <row r="21" spans="1:4" x14ac:dyDescent="0.35">
      <c r="A21" s="86" t="s">
        <v>342</v>
      </c>
    </row>
    <row r="22" spans="1:4" x14ac:dyDescent="0.35">
      <c r="A22" s="86">
        <v>0.8</v>
      </c>
      <c r="B22" s="2" t="s">
        <v>3</v>
      </c>
      <c r="C22" s="86">
        <v>0.9</v>
      </c>
      <c r="D22" t="s">
        <v>343</v>
      </c>
    </row>
    <row r="23" spans="1:4" x14ac:dyDescent="0.35">
      <c r="A23" s="86">
        <v>0.1</v>
      </c>
      <c r="B23" s="2" t="s">
        <v>1</v>
      </c>
      <c r="C23" s="86">
        <v>0.2</v>
      </c>
      <c r="D23" t="s">
        <v>344</v>
      </c>
    </row>
    <row r="24" spans="1:4" x14ac:dyDescent="0.35">
      <c r="A24" t="s">
        <v>346</v>
      </c>
    </row>
    <row r="25" spans="1:4" x14ac:dyDescent="0.35">
      <c r="A25" t="s">
        <v>345</v>
      </c>
      <c r="C25" t="e">
        <f>(C10-#REF!)/D10</f>
        <v>#REF!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66665dd-1e69-4da8-b9a3-1ed623eaa3a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C34478F2FBE25438C3010762A9B7389" ma:contentTypeVersion="8" ma:contentTypeDescription="Crie um novo documento." ma:contentTypeScope="" ma:versionID="eaec70bc8cf872b16b434ddefae517a4">
  <xsd:schema xmlns:xsd="http://www.w3.org/2001/XMLSchema" xmlns:xs="http://www.w3.org/2001/XMLSchema" xmlns:p="http://schemas.microsoft.com/office/2006/metadata/properties" xmlns:ns3="266665dd-1e69-4da8-b9a3-1ed623eaa3ac" targetNamespace="http://schemas.microsoft.com/office/2006/metadata/properties" ma:root="true" ma:fieldsID="8cc9b6e2ae09e1d40dadbf6b60d10c6a" ns3:_="">
    <xsd:import namespace="266665dd-1e69-4da8-b9a3-1ed623eaa3a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6665dd-1e69-4da8-b9a3-1ed623eaa3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6A7ED4-400C-4383-BE58-667792E90B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07C368-3875-4CA1-9172-71DCCFAA714B}">
  <ds:schemaRefs/>
</ds:datastoreItem>
</file>

<file path=customXml/itemProps3.xml><?xml version="1.0" encoding="utf-8"?>
<ds:datastoreItem xmlns:ds="http://schemas.openxmlformats.org/officeDocument/2006/customXml" ds:itemID="{0D7DE194-32F7-4471-B01D-C7392A3FA3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6665dd-1e69-4da8-b9a3-1ed623eaa3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 e Análise</vt:lpstr>
      <vt:lpstr>data</vt:lpstr>
      <vt:lpstr>Perguntas e Respostas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Raphael Marques</dc:creator>
  <cp:keywords/>
  <dc:description/>
  <cp:lastModifiedBy>Raphael Marques Franco</cp:lastModifiedBy>
  <cp:revision/>
  <dcterms:created xsi:type="dcterms:W3CDTF">2025-11-19T04:12:33Z</dcterms:created>
  <dcterms:modified xsi:type="dcterms:W3CDTF">2025-11-27T03:55:15Z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0x0101003C34478F2FBE25438C3010762A9B7389</vt:lpwstr>
  </property>
</Properties>
</file>